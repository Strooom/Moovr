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roo\Downloads\"/>
    </mc:Choice>
  </mc:AlternateContent>
  <bookViews>
    <workbookView xWindow="0" yWindow="0" windowWidth="14436" windowHeight="8232"/>
  </bookViews>
  <sheets>
    <sheet name="3rd Order" sheetId="2" r:id="rId1"/>
    <sheet name="2nd Order" sheetId="1" r:id="rId2"/>
    <sheet name="Blad1" sheetId="3" state="hidden" r:id="rId3"/>
  </sheets>
  <definedNames>
    <definedName name="acceleration1">'2nd Order'!$C$21</definedName>
    <definedName name="acceleration2">'2nd Order'!$C$28</definedName>
    <definedName name="amax">'2nd Order'!$C$3</definedName>
    <definedName name="duration1">'2nd Order'!$F$15</definedName>
    <definedName name="duration2">'2nd Order'!$F$17</definedName>
    <definedName name="duration3">'2nd Order'!$F$19</definedName>
    <definedName name="jmax">'2nd Order'!$C$2</definedName>
    <definedName name="length">'2nd Order'!$C$6</definedName>
    <definedName name="length1">'2nd Order'!$E$16</definedName>
    <definedName name="length2">'2nd Order'!$E$18</definedName>
    <definedName name="length3">'2nd Order'!$E$20</definedName>
    <definedName name="time0">'2nd Order'!$F$14</definedName>
    <definedName name="time1">'2nd Order'!$F$16</definedName>
    <definedName name="time2">'2nd Order'!$F$18</definedName>
    <definedName name="time3">'2nd Order'!$F$20</definedName>
    <definedName name="velocity1">'2nd Order'!$D$16</definedName>
    <definedName name="velocity2">'2nd Order'!$D$18</definedName>
    <definedName name="velocity3">'2nd Order'!$D$20</definedName>
    <definedName name="vend">'2nd Order'!$C$10</definedName>
    <definedName name="vmax">'2nd Order'!$C$4</definedName>
    <definedName name="vstart">'2nd Order'!$C$9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  <c r="E5" i="2" l="1"/>
  <c r="C7" i="1" l="1"/>
  <c r="I102" i="1" l="1"/>
  <c r="H101" i="2"/>
  <c r="H5" i="2"/>
  <c r="H2" i="2"/>
  <c r="H8" i="2" l="1"/>
  <c r="H10" i="2"/>
  <c r="H12" i="2"/>
  <c r="H21" i="2"/>
  <c r="H24" i="2"/>
  <c r="H26" i="2"/>
  <c r="H27" i="2"/>
  <c r="H3" i="2"/>
  <c r="H4" i="2"/>
  <c r="H6" i="2"/>
  <c r="H7" i="2"/>
  <c r="H9" i="2"/>
  <c r="H11" i="2"/>
  <c r="H13" i="2"/>
  <c r="H14" i="2"/>
  <c r="H15" i="2"/>
  <c r="H16" i="2"/>
  <c r="H17" i="2"/>
  <c r="H18" i="2"/>
  <c r="H19" i="2"/>
  <c r="H20" i="2"/>
  <c r="H22" i="2"/>
  <c r="H23" i="2"/>
  <c r="H25" i="2"/>
  <c r="H28" i="2"/>
  <c r="H30" i="2"/>
  <c r="H32" i="2"/>
  <c r="H34" i="2"/>
  <c r="H36" i="2"/>
  <c r="H38" i="2"/>
  <c r="H40" i="2"/>
  <c r="H42" i="2"/>
  <c r="H44" i="2"/>
  <c r="H46" i="2"/>
  <c r="H48" i="2"/>
  <c r="H50" i="2"/>
  <c r="H52" i="2"/>
  <c r="H54" i="2"/>
  <c r="H56" i="2"/>
  <c r="H58" i="2"/>
  <c r="H60" i="2"/>
  <c r="H62" i="2"/>
  <c r="H64" i="2"/>
  <c r="H66" i="2"/>
  <c r="H68" i="2"/>
  <c r="H70" i="2"/>
  <c r="H72" i="2"/>
  <c r="H74" i="2"/>
  <c r="H76" i="2"/>
  <c r="H78" i="2"/>
  <c r="H80" i="2"/>
  <c r="H82" i="2"/>
  <c r="H84" i="2"/>
  <c r="H86" i="2"/>
  <c r="H88" i="2"/>
  <c r="H90" i="2"/>
  <c r="H92" i="2"/>
  <c r="H94" i="2"/>
  <c r="H96" i="2"/>
  <c r="H98" i="2"/>
  <c r="H100" i="2"/>
  <c r="H29" i="2"/>
  <c r="H31" i="2"/>
  <c r="H33" i="2"/>
  <c r="H35" i="2"/>
  <c r="H37" i="2"/>
  <c r="H39" i="2"/>
  <c r="H41" i="2"/>
  <c r="H43" i="2"/>
  <c r="H45" i="2"/>
  <c r="H47" i="2"/>
  <c r="H49" i="2"/>
  <c r="H51" i="2"/>
  <c r="H53" i="2"/>
  <c r="H55" i="2"/>
  <c r="H57" i="2"/>
  <c r="H59" i="2"/>
  <c r="H61" i="2"/>
  <c r="H63" i="2"/>
  <c r="H65" i="2"/>
  <c r="H67" i="2"/>
  <c r="H69" i="2"/>
  <c r="H71" i="2"/>
  <c r="H73" i="2"/>
  <c r="H75" i="2"/>
  <c r="H77" i="2"/>
  <c r="H79" i="2"/>
  <c r="H81" i="2"/>
  <c r="H83" i="2"/>
  <c r="H85" i="2"/>
  <c r="H87" i="2"/>
  <c r="H89" i="2"/>
  <c r="H91" i="2"/>
  <c r="H93" i="2"/>
  <c r="H95" i="2"/>
  <c r="H97" i="2"/>
  <c r="H99" i="2"/>
  <c r="E4" i="1" l="1"/>
  <c r="I3" i="1" l="1"/>
  <c r="I5" i="1"/>
  <c r="I7" i="1"/>
  <c r="I9" i="1"/>
  <c r="I11" i="1"/>
  <c r="I13" i="1"/>
  <c r="I15" i="1"/>
  <c r="I17" i="1"/>
  <c r="I19" i="1"/>
  <c r="I21" i="1"/>
  <c r="I23" i="1"/>
  <c r="I25" i="1"/>
  <c r="I27" i="1"/>
  <c r="I29" i="1"/>
  <c r="I31" i="1"/>
  <c r="I33" i="1"/>
  <c r="I35" i="1"/>
  <c r="I37" i="1"/>
  <c r="I39" i="1"/>
  <c r="I41" i="1"/>
  <c r="I43" i="1"/>
  <c r="I45" i="1"/>
  <c r="I47" i="1"/>
  <c r="I49" i="1"/>
  <c r="I51" i="1"/>
  <c r="I53" i="1"/>
  <c r="I55" i="1"/>
  <c r="I57" i="1"/>
  <c r="I59" i="1"/>
  <c r="I61" i="1"/>
  <c r="I63" i="1"/>
  <c r="I65" i="1"/>
  <c r="I67" i="1"/>
  <c r="I69" i="1"/>
  <c r="I71" i="1"/>
  <c r="I73" i="1"/>
  <c r="I75" i="1"/>
  <c r="I77" i="1"/>
  <c r="I79" i="1"/>
  <c r="I81" i="1"/>
  <c r="I83" i="1"/>
  <c r="I85" i="1"/>
  <c r="I87" i="1"/>
  <c r="I89" i="1"/>
  <c r="I91" i="1"/>
  <c r="I93" i="1"/>
  <c r="I95" i="1"/>
  <c r="I97" i="1"/>
  <c r="I99" i="1"/>
  <c r="I101" i="1"/>
  <c r="I4" i="1"/>
  <c r="I6" i="1"/>
  <c r="I8" i="1"/>
  <c r="I10" i="1"/>
  <c r="I12" i="1"/>
  <c r="I14" i="1"/>
  <c r="I16" i="1"/>
  <c r="I18" i="1"/>
  <c r="I20" i="1"/>
  <c r="I22" i="1"/>
  <c r="I24" i="1"/>
  <c r="I26" i="1"/>
  <c r="I28" i="1"/>
  <c r="I30" i="1"/>
  <c r="I32" i="1"/>
  <c r="I34" i="1"/>
  <c r="I36" i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I66" i="1"/>
  <c r="I68" i="1"/>
  <c r="I70" i="1"/>
  <c r="I72" i="1"/>
  <c r="I74" i="1"/>
  <c r="I78" i="1"/>
  <c r="I82" i="1"/>
  <c r="I86" i="1"/>
  <c r="I90" i="1"/>
  <c r="I94" i="1"/>
  <c r="I98" i="1"/>
  <c r="I2" i="1"/>
  <c r="I76" i="1"/>
  <c r="I80" i="1"/>
  <c r="I84" i="1"/>
  <c r="I88" i="1"/>
  <c r="I92" i="1"/>
  <c r="I96" i="1"/>
  <c r="I100" i="1"/>
</calcChain>
</file>

<file path=xl/sharedStrings.xml><?xml version="1.0" encoding="utf-8"?>
<sst xmlns="http://schemas.openxmlformats.org/spreadsheetml/2006/main" count="102" uniqueCount="51">
  <si>
    <t>mm/s^3</t>
  </si>
  <si>
    <t>mm/s^2</t>
  </si>
  <si>
    <t>mm/s</t>
  </si>
  <si>
    <t>mm</t>
  </si>
  <si>
    <t>n</t>
  </si>
  <si>
    <t>s</t>
  </si>
  <si>
    <t>j</t>
  </si>
  <si>
    <t>a</t>
  </si>
  <si>
    <t>v</t>
  </si>
  <si>
    <t>t</t>
  </si>
  <si>
    <t>T</t>
  </si>
  <si>
    <t>mm/min</t>
  </si>
  <si>
    <t>T0</t>
  </si>
  <si>
    <t>I</t>
  </si>
  <si>
    <t>T1</t>
  </si>
  <si>
    <t>II</t>
  </si>
  <si>
    <t>T2</t>
  </si>
  <si>
    <t>III</t>
  </si>
  <si>
    <t>T3</t>
  </si>
  <si>
    <t>IV</t>
  </si>
  <si>
    <t>T4</t>
  </si>
  <si>
    <t>V</t>
  </si>
  <si>
    <t>T5</t>
  </si>
  <si>
    <t>VI</t>
  </si>
  <si>
    <t>T6</t>
  </si>
  <si>
    <t>VII</t>
  </si>
  <si>
    <t>T7</t>
  </si>
  <si>
    <t>Direction</t>
  </si>
  <si>
    <t>Forward</t>
  </si>
  <si>
    <t>Reverse</t>
  </si>
  <si>
    <t>Maximum allowed Acceleration</t>
  </si>
  <si>
    <t>Maximum allowed Deceleration</t>
  </si>
  <si>
    <t>Maximum allowed Velocity</t>
  </si>
  <si>
    <t>Wanted Start Velocity</t>
  </si>
  <si>
    <t>Wanted End Velocity</t>
  </si>
  <si>
    <t>Calculate Constraints</t>
  </si>
  <si>
    <t>Segment Length</t>
  </si>
  <si>
    <t>Resulting Segment Time</t>
  </si>
  <si>
    <t>jMax</t>
  </si>
  <si>
    <t>aMax</t>
  </si>
  <si>
    <t>dMax</t>
  </si>
  <si>
    <t>vMax</t>
  </si>
  <si>
    <t>Length</t>
  </si>
  <si>
    <t>vStart</t>
  </si>
  <si>
    <t>vEnd</t>
  </si>
  <si>
    <t>maximum jerk</t>
  </si>
  <si>
    <t>max acceleration</t>
  </si>
  <si>
    <t>max deceleration</t>
  </si>
  <si>
    <t>max velocity</t>
  </si>
  <si>
    <t>segment length</t>
  </si>
  <si>
    <t>segment 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</si>
</sst>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right"/>
    </xf>
    <xf numFmtId="0" fontId="1" fillId="2" borderId="1" xfId="0" applyFont="1" applyFill="1" applyBorder="1"/>
    <xf numFmtId="0" fontId="1" fillId="0" borderId="0" xfId="0" applyFont="1"/>
    <xf numFmtId="0" fontId="1" fillId="3" borderId="2" xfId="0" applyFont="1" applyFill="1" applyBorder="1"/>
    <xf numFmtId="0" fontId="1" fillId="2" borderId="1" xfId="0" applyFont="1" applyFill="1" applyBorder="1" applyAlignment="1"/>
    <xf numFmtId="0" fontId="0" fillId="4" borderId="0" xfId="0" applyFill="1"/>
    <xf numFmtId="0" fontId="0" fillId="5" borderId="0" xfId="0" applyFill="1"/>
    <xf numFmtId="0" fontId="1" fillId="0" borderId="0" xfId="0" applyFont="1" applyAlignment="1">
      <alignment horizontal="right"/>
    </xf>
    <xf numFmtId="0" fontId="0" fillId="0" borderId="0" xfId="0" applyFill="1" applyBorder="1"/>
    <xf numFmtId="0" fontId="0" fillId="0" borderId="0" xfId="0" applyFill="1" applyBorder="1" applyAlignment="1">
      <alignment horizontal="right"/>
    </xf>
    <xf numFmtId="0" fontId="0" fillId="0" borderId="0" xfId="0" quotePrefix="1" applyFill="1" applyBorder="1"/>
    <xf numFmtId="0" fontId="1" fillId="0" borderId="1" xfId="0" applyFont="1" applyBorder="1" applyAlignment="1">
      <alignment horizontal="right"/>
    </xf>
    <xf numFmtId="0" fontId="0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0" fillId="0" borderId="0" xfId="0" applyFill="1"/>
    <xf numFmtId="0" fontId="1" fillId="0" borderId="0" xfId="0" applyFont="1" applyFill="1" applyBorder="1" applyAlignment="1"/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/>
    <xf numFmtId="2" fontId="0" fillId="0" borderId="0" xfId="0" applyNumberFormat="1"/>
    <xf numFmtId="2" fontId="0" fillId="0" borderId="0" xfId="0" applyNumberFormat="1" applyFont="1"/>
    <xf numFmtId="1" fontId="0" fillId="0" borderId="0" xfId="0" applyNumberFormat="1"/>
    <xf numFmtId="16" fontId="0" fillId="0" borderId="0" xfId="0" applyNumberFormat="1" applyFill="1" applyBorder="1"/>
    <xf numFmtId="15" fontId="0" fillId="0" borderId="0" xfId="0" applyNumberFormat="1" applyFill="1" applyBorder="1"/>
    <xf numFmtId="0" fontId="1" fillId="0" borderId="0" xfId="0" applyFont="1" applyFill="1" applyBorder="1" applyAlignment="1">
      <alignment horizontal="center"/>
    </xf>
  </cellXfs>
  <cellStyles count="1">
    <cellStyle name="Standaard" xfId="0" builtinId="0"/>
  </cellStyles>
  <dxfs count="7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'3rd Order'!$I$1</c:f>
              <c:strCache>
                <c:ptCount val="1"/>
                <c:pt idx="0">
                  <c:v>j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'3rd Order'!$I$2:$I$101</c:f>
              <c:numCache>
                <c:formatCode>General</c:formatCode>
                <c:ptCount val="10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-100</c:v>
                </c:pt>
                <c:pt idx="23">
                  <c:v>-100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-100</c:v>
                </c:pt>
                <c:pt idx="85">
                  <c:v>-100</c:v>
                </c:pt>
                <c:pt idx="86">
                  <c:v>-100</c:v>
                </c:pt>
                <c:pt idx="87">
                  <c:v>-100</c:v>
                </c:pt>
                <c:pt idx="88">
                  <c:v>-100</c:v>
                </c:pt>
                <c:pt idx="89">
                  <c:v>-100</c:v>
                </c:pt>
                <c:pt idx="90">
                  <c:v>-100</c:v>
                </c:pt>
                <c:pt idx="91">
                  <c:v>-100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BA-4957-A146-21D881D37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666536"/>
        <c:axId val="355667520"/>
      </c:lineChart>
      <c:catAx>
        <c:axId val="355666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355667520"/>
        <c:crosses val="autoZero"/>
        <c:auto val="1"/>
        <c:lblAlgn val="ctr"/>
        <c:lblOffset val="100"/>
        <c:noMultiLvlLbl val="0"/>
      </c:catAx>
      <c:valAx>
        <c:axId val="35566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35566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'3rd Order'!$J$1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'3rd Order'!$J$2:$J$101</c:f>
              <c:numCache>
                <c:formatCode>General</c:formatCode>
                <c:ptCount val="100"/>
                <c:pt idx="0">
                  <c:v>0</c:v>
                </c:pt>
                <c:pt idx="1">
                  <c:v>3.7368849856722517</c:v>
                </c:pt>
                <c:pt idx="2">
                  <c:v>7.4737699713445034</c:v>
                </c:pt>
                <c:pt idx="3">
                  <c:v>11.210654957016756</c:v>
                </c:pt>
                <c:pt idx="4">
                  <c:v>14.947539942689007</c:v>
                </c:pt>
                <c:pt idx="5">
                  <c:v>18.684424928361256</c:v>
                </c:pt>
                <c:pt idx="6">
                  <c:v>22.421309914033511</c:v>
                </c:pt>
                <c:pt idx="7">
                  <c:v>26.158194899705762</c:v>
                </c:pt>
                <c:pt idx="8">
                  <c:v>29.895079885378014</c:v>
                </c:pt>
                <c:pt idx="9">
                  <c:v>33.631964871050265</c:v>
                </c:pt>
                <c:pt idx="10">
                  <c:v>37.368849856722512</c:v>
                </c:pt>
                <c:pt idx="11">
                  <c:v>41.105734842394767</c:v>
                </c:pt>
                <c:pt idx="12">
                  <c:v>44.60009927192457</c:v>
                </c:pt>
                <c:pt idx="13">
                  <c:v>40.863214286252315</c:v>
                </c:pt>
                <c:pt idx="14">
                  <c:v>37.126329300580068</c:v>
                </c:pt>
                <c:pt idx="15">
                  <c:v>33.38944431490782</c:v>
                </c:pt>
                <c:pt idx="16">
                  <c:v>29.652559329235565</c:v>
                </c:pt>
                <c:pt idx="17">
                  <c:v>25.915674343563314</c:v>
                </c:pt>
                <c:pt idx="18">
                  <c:v>22.178789357891063</c:v>
                </c:pt>
                <c:pt idx="19">
                  <c:v>18.441904372218811</c:v>
                </c:pt>
                <c:pt idx="20">
                  <c:v>14.70501938654656</c:v>
                </c:pt>
                <c:pt idx="21">
                  <c:v>10.968134400874312</c:v>
                </c:pt>
                <c:pt idx="22">
                  <c:v>7.2312494152020577</c:v>
                </c:pt>
                <c:pt idx="23">
                  <c:v>3.49436442952981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-3.4553934326115421</c:v>
                </c:pt>
                <c:pt idx="85">
                  <c:v>-7.192278418283804</c:v>
                </c:pt>
                <c:pt idx="86">
                  <c:v>-10.929163403956066</c:v>
                </c:pt>
                <c:pt idx="87">
                  <c:v>-14.666048389628328</c:v>
                </c:pt>
                <c:pt idx="88">
                  <c:v>-18.402933375300545</c:v>
                </c:pt>
                <c:pt idx="89">
                  <c:v>-22.139818360972807</c:v>
                </c:pt>
                <c:pt idx="90">
                  <c:v>-25.876703346645069</c:v>
                </c:pt>
                <c:pt idx="91">
                  <c:v>-29.613588332317331</c:v>
                </c:pt>
                <c:pt idx="92">
                  <c:v>-29.895079885378046</c:v>
                </c:pt>
                <c:pt idx="93">
                  <c:v>-26.158194899705784</c:v>
                </c:pt>
                <c:pt idx="94">
                  <c:v>-22.421309914033522</c:v>
                </c:pt>
                <c:pt idx="95">
                  <c:v>-18.68442492836126</c:v>
                </c:pt>
                <c:pt idx="96">
                  <c:v>-14.947539942688994</c:v>
                </c:pt>
                <c:pt idx="97">
                  <c:v>-11.210654957016779</c:v>
                </c:pt>
                <c:pt idx="98">
                  <c:v>-7.4737699713445167</c:v>
                </c:pt>
                <c:pt idx="99">
                  <c:v>-3.7368849856722548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D-4853-A9E5-A0829521F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3598344"/>
        <c:axId val="443604248"/>
      </c:lineChart>
      <c:catAx>
        <c:axId val="443598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43604248"/>
        <c:crosses val="autoZero"/>
        <c:auto val="1"/>
        <c:lblAlgn val="ctr"/>
        <c:lblOffset val="100"/>
        <c:noMultiLvlLbl val="0"/>
      </c:catAx>
      <c:valAx>
        <c:axId val="44360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4359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'3rd Order'!$K$1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'3rd Order'!$K$2:$K$101</c:f>
              <c:numCache>
                <c:formatCode>General</c:formatCode>
                <c:ptCount val="100"/>
                <c:pt idx="0">
                  <c:v>10</c:v>
                </c:pt>
                <c:pt idx="1">
                  <c:v>10.069821546980714</c:v>
                </c:pt>
                <c:pt idx="2">
                  <c:v>10.279286187922853</c:v>
                </c:pt>
                <c:pt idx="3">
                  <c:v>10.628393922826422</c:v>
                </c:pt>
                <c:pt idx="4">
                  <c:v>11.117144751691416</c:v>
                </c:pt>
                <c:pt idx="5">
                  <c:v>11.745538674517837</c:v>
                </c:pt>
                <c:pt idx="6">
                  <c:v>12.513575691305686</c:v>
                </c:pt>
                <c:pt idx="7">
                  <c:v>13.421255802054963</c:v>
                </c:pt>
                <c:pt idx="8">
                  <c:v>14.468579006765665</c:v>
                </c:pt>
                <c:pt idx="9">
                  <c:v>15.655545305437794</c:v>
                </c:pt>
                <c:pt idx="10">
                  <c:v>16.982154698071351</c:v>
                </c:pt>
                <c:pt idx="11">
                  <c:v>18.448407184666337</c:v>
                </c:pt>
                <c:pt idx="12">
                  <c:v>20.05415572467237</c:v>
                </c:pt>
                <c:pt idx="13">
                  <c:v>21.650988590979125</c:v>
                </c:pt>
                <c:pt idx="14">
                  <c:v>23.108178363324452</c:v>
                </c:pt>
                <c:pt idx="15">
                  <c:v>24.42572504170835</c:v>
                </c:pt>
                <c:pt idx="16">
                  <c:v>25.603628626130824</c:v>
                </c:pt>
                <c:pt idx="17">
                  <c:v>26.641889116591873</c:v>
                </c:pt>
                <c:pt idx="18">
                  <c:v>27.54050651309149</c:v>
                </c:pt>
                <c:pt idx="19">
                  <c:v>28.299480815629686</c:v>
                </c:pt>
                <c:pt idx="20">
                  <c:v>28.918812024206449</c:v>
                </c:pt>
                <c:pt idx="21">
                  <c:v>29.398500138821788</c:v>
                </c:pt>
                <c:pt idx="22">
                  <c:v>29.738545159475699</c:v>
                </c:pt>
                <c:pt idx="23">
                  <c:v>29.938947086168184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29.940301281129326</c:v>
                </c:pt>
                <c:pt idx="85">
                  <c:v>29.741355655769446</c:v>
                </c:pt>
                <c:pt idx="86">
                  <c:v>29.402766936448138</c:v>
                </c:pt>
                <c:pt idx="87">
                  <c:v>28.924535123165402</c:v>
                </c:pt>
                <c:pt idx="88">
                  <c:v>28.306660215921248</c:v>
                </c:pt>
                <c:pt idx="89">
                  <c:v>27.549142214715658</c:v>
                </c:pt>
                <c:pt idx="90">
                  <c:v>26.65198111954864</c:v>
                </c:pt>
                <c:pt idx="91">
                  <c:v>25.615176930420194</c:v>
                </c:pt>
                <c:pt idx="92">
                  <c:v>24.468579006765676</c:v>
                </c:pt>
                <c:pt idx="93">
                  <c:v>23.421255802054969</c:v>
                </c:pt>
                <c:pt idx="94">
                  <c:v>22.513575691305689</c:v>
                </c:pt>
                <c:pt idx="95">
                  <c:v>21.745538674517839</c:v>
                </c:pt>
                <c:pt idx="96">
                  <c:v>21.117144751691416</c:v>
                </c:pt>
                <c:pt idx="97">
                  <c:v>20.628393922826426</c:v>
                </c:pt>
                <c:pt idx="98">
                  <c:v>20.279286187922857</c:v>
                </c:pt>
                <c:pt idx="99">
                  <c:v>20.069821546980712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E5-4AF9-B776-BC3CE8209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8263136"/>
        <c:axId val="448260184"/>
      </c:lineChart>
      <c:catAx>
        <c:axId val="4482631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48260184"/>
        <c:crosses val="autoZero"/>
        <c:auto val="1"/>
        <c:lblAlgn val="ctr"/>
        <c:lblOffset val="100"/>
        <c:noMultiLvlLbl val="0"/>
      </c:catAx>
      <c:valAx>
        <c:axId val="448260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4826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'2nd Order'!$K$1</c:f>
              <c:strCache>
                <c:ptCount val="1"/>
                <c:pt idx="0">
                  <c:v>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'2nd Order'!$K$2:$K$102</c:f>
              <c:numCache>
                <c:formatCode>General</c:formatCode>
                <c:ptCount val="101"/>
                <c:pt idx="0">
                  <c:v>50</c:v>
                </c:pt>
                <c:pt idx="1">
                  <c:v>52.516666666666666</c:v>
                </c:pt>
                <c:pt idx="2">
                  <c:v>55.033333333333331</c:v>
                </c:pt>
                <c:pt idx="3">
                  <c:v>57.55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57.549999999999983</c:v>
                </c:pt>
                <c:pt idx="98">
                  <c:v>55.033333333333303</c:v>
                </c:pt>
                <c:pt idx="99">
                  <c:v>52.516666666666666</c:v>
                </c:pt>
                <c:pt idx="100">
                  <c:v>49.999999999999993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27-4B59-A73D-B4DC3BD8C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827568"/>
        <c:axId val="344828880"/>
      </c:lineChart>
      <c:catAx>
        <c:axId val="344827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344828880"/>
        <c:crosses val="autoZero"/>
        <c:auto val="1"/>
        <c:lblAlgn val="ctr"/>
        <c:lblOffset val="100"/>
        <c:noMultiLvlLbl val="0"/>
      </c:catAx>
      <c:valAx>
        <c:axId val="34482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34482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'2nd Order'!$J$1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'2nd Order'!$J$2:$J$102</c:f>
              <c:numCache>
                <c:formatCode>General</c:formatCode>
                <c:ptCount val="10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-100</c:v>
                </c:pt>
                <c:pt idx="98">
                  <c:v>-100</c:v>
                </c:pt>
                <c:pt idx="99">
                  <c:v>-100</c:v>
                </c:pt>
                <c:pt idx="100">
                  <c:v>-100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CC-4F7F-9D9E-01B6F9039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826584"/>
        <c:axId val="344832160"/>
      </c:lineChart>
      <c:catAx>
        <c:axId val="3448265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344832160"/>
        <c:crosses val="autoZero"/>
        <c:auto val="1"/>
        <c:lblAlgn val="ctr"/>
        <c:lblOffset val="100"/>
        <c:noMultiLvlLbl val="0"/>
      </c:catAx>
      <c:valAx>
        <c:axId val="3448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34482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</xdr:colOff>
          <xdr:row>5</xdr:row>
          <xdr:rowOff>121920</xdr:rowOff>
        </xdr:from>
        <xdr:to>
          <xdr:col>6</xdr:col>
          <xdr:colOff>304800</xdr:colOff>
          <xdr:row>10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309562</xdr:colOff>
      <xdr:row>0</xdr:row>
      <xdr:rowOff>95250</xdr:rowOff>
    </xdr:from>
    <xdr:to>
      <xdr:col>20</xdr:col>
      <xdr:colOff>14287</xdr:colOff>
      <xdr:row>14</xdr:row>
      <xdr:rowOff>171450</xdr:rowOff>
    </xdr:to>
    <xdr:graphicFrame macro="">
      <xdr:nvGraphicFramePr>
        <xdr:cNvPr id="3" name="Grafiek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123825</xdr:colOff>
      <xdr:row>0</xdr:row>
      <xdr:rowOff>104775</xdr:rowOff>
    </xdr:from>
    <xdr:to>
      <xdr:col>27</xdr:col>
      <xdr:colOff>428625</xdr:colOff>
      <xdr:row>14</xdr:row>
      <xdr:rowOff>180975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314325</xdr:colOff>
      <xdr:row>15</xdr:row>
      <xdr:rowOff>95249</xdr:rowOff>
    </xdr:from>
    <xdr:to>
      <xdr:col>20</xdr:col>
      <xdr:colOff>9525</xdr:colOff>
      <xdr:row>37</xdr:row>
      <xdr:rowOff>104774</xdr:rowOff>
    </xdr:to>
    <xdr:graphicFrame macro="">
      <xdr:nvGraphicFramePr>
        <xdr:cNvPr id="5" name="Grafiek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5</xdr:row>
          <xdr:rowOff>160020</xdr:rowOff>
        </xdr:from>
        <xdr:to>
          <xdr:col>6</xdr:col>
          <xdr:colOff>464820</xdr:colOff>
          <xdr:row>9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120650</xdr:colOff>
      <xdr:row>18</xdr:row>
      <xdr:rowOff>76200</xdr:rowOff>
    </xdr:from>
    <xdr:to>
      <xdr:col>19</xdr:col>
      <xdr:colOff>412750</xdr:colOff>
      <xdr:row>37</xdr:row>
      <xdr:rowOff>120651</xdr:rowOff>
    </xdr:to>
    <xdr:graphicFrame macro="">
      <xdr:nvGraphicFramePr>
        <xdr:cNvPr id="2" name="Grafie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127000</xdr:colOff>
      <xdr:row>0</xdr:row>
      <xdr:rowOff>74613</xdr:rowOff>
    </xdr:from>
    <xdr:to>
      <xdr:col>19</xdr:col>
      <xdr:colOff>427038</xdr:colOff>
      <xdr:row>18</xdr:row>
      <xdr:rowOff>28575</xdr:rowOff>
    </xdr:to>
    <xdr:graphicFrame macro="">
      <xdr:nvGraphicFramePr>
        <xdr:cNvPr id="3" name="Grafiek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L101"/>
  <sheetViews>
    <sheetView tabSelected="1" zoomScaleNormal="100" workbookViewId="0">
      <selection activeCell="C4" sqref="C4"/>
    </sheetView>
  </sheetViews>
  <sheetFormatPr defaultRowHeight="14.4" x14ac:dyDescent="0.3"/>
  <cols>
    <col min="1" max="1" width="12.33203125" customWidth="1"/>
    <col min="2" max="2" width="17.88671875" bestFit="1" customWidth="1"/>
    <col min="4" max="4" width="9.109375" style="1"/>
  </cols>
  <sheetData>
    <row r="1" spans="1:12" x14ac:dyDescent="0.3">
      <c r="G1" s="2" t="s">
        <v>4</v>
      </c>
      <c r="H1" s="2" t="s">
        <v>9</v>
      </c>
      <c r="I1" s="2" t="s">
        <v>6</v>
      </c>
      <c r="J1" s="2" t="s">
        <v>7</v>
      </c>
      <c r="K1" s="2" t="s">
        <v>8</v>
      </c>
      <c r="L1" s="2" t="s">
        <v>5</v>
      </c>
    </row>
    <row r="2" spans="1:12" x14ac:dyDescent="0.3">
      <c r="A2" s="3" t="s">
        <v>38</v>
      </c>
      <c r="B2" t="s">
        <v>45</v>
      </c>
      <c r="C2" s="4">
        <v>100</v>
      </c>
      <c r="D2" s="1" t="s">
        <v>0</v>
      </c>
      <c r="G2" s="22">
        <v>0</v>
      </c>
      <c r="H2" s="20">
        <f>$G2*($C$7/100)</f>
        <v>0</v>
      </c>
      <c r="I2">
        <v>100</v>
      </c>
      <c r="J2">
        <v>0</v>
      </c>
      <c r="K2">
        <v>10</v>
      </c>
    </row>
    <row r="3" spans="1:12" x14ac:dyDescent="0.3">
      <c r="A3" s="3" t="s">
        <v>39</v>
      </c>
      <c r="B3" t="s">
        <v>46</v>
      </c>
      <c r="C3" s="4">
        <v>50</v>
      </c>
      <c r="D3" s="1" t="s">
        <v>1</v>
      </c>
      <c r="G3" s="22">
        <v>1</v>
      </c>
      <c r="H3" s="20">
        <f t="shared" ref="H3:H66" si="0">$G3*($C$7/100)</f>
        <v>3.7368849856722515E-2</v>
      </c>
      <c r="I3">
        <v>100</v>
      </c>
      <c r="J3">
        <v>3.7368849856722517</v>
      </c>
      <c r="K3">
        <v>10.069821546980714</v>
      </c>
    </row>
    <row r="4" spans="1:12" x14ac:dyDescent="0.3">
      <c r="A4" s="3" t="s">
        <v>40</v>
      </c>
      <c r="B4" t="s">
        <v>47</v>
      </c>
      <c r="C4" s="4">
        <v>50</v>
      </c>
      <c r="D4" s="1" t="s">
        <v>1</v>
      </c>
      <c r="F4" s="1"/>
      <c r="G4" s="22">
        <v>2</v>
      </c>
      <c r="H4" s="20">
        <f t="shared" si="0"/>
        <v>7.473769971344503E-2</v>
      </c>
      <c r="I4">
        <v>100</v>
      </c>
      <c r="J4">
        <v>7.4737699713445034</v>
      </c>
      <c r="K4">
        <v>10.279286187922853</v>
      </c>
    </row>
    <row r="5" spans="1:12" x14ac:dyDescent="0.3">
      <c r="A5" s="3" t="s">
        <v>41</v>
      </c>
      <c r="B5" t="s">
        <v>48</v>
      </c>
      <c r="C5" s="4">
        <v>30</v>
      </c>
      <c r="D5" s="1" t="s">
        <v>2</v>
      </c>
      <c r="E5">
        <f>C5*60</f>
        <v>1800</v>
      </c>
      <c r="F5" s="1" t="s">
        <v>11</v>
      </c>
      <c r="G5" s="22">
        <v>3</v>
      </c>
      <c r="H5" s="20">
        <f t="shared" si="0"/>
        <v>0.11210654957016755</v>
      </c>
      <c r="I5">
        <v>100</v>
      </c>
      <c r="J5">
        <v>11.210654957016756</v>
      </c>
      <c r="K5">
        <v>10.628393922826422</v>
      </c>
    </row>
    <row r="6" spans="1:12" x14ac:dyDescent="0.3">
      <c r="A6" s="3" t="s">
        <v>42</v>
      </c>
      <c r="B6" t="s">
        <v>49</v>
      </c>
      <c r="C6" s="4">
        <v>100</v>
      </c>
      <c r="D6" s="1" t="s">
        <v>3</v>
      </c>
      <c r="G6" s="22">
        <v>4</v>
      </c>
      <c r="H6" s="20">
        <f t="shared" si="0"/>
        <v>0.14947539942689006</v>
      </c>
      <c r="I6">
        <v>100</v>
      </c>
      <c r="J6">
        <v>14.947539942689007</v>
      </c>
      <c r="K6">
        <v>11.117144751691416</v>
      </c>
    </row>
    <row r="7" spans="1:12" x14ac:dyDescent="0.3">
      <c r="A7" s="3"/>
      <c r="B7" t="s">
        <v>50</v>
      </c>
      <c r="C7" s="21">
        <f>F28</f>
        <v>3.7368849856722517</v>
      </c>
      <c r="D7" s="1" t="s">
        <v>5</v>
      </c>
      <c r="G7" s="22">
        <v>5</v>
      </c>
      <c r="H7" s="20">
        <f t="shared" si="0"/>
        <v>0.18684424928361257</v>
      </c>
      <c r="I7">
        <v>100</v>
      </c>
      <c r="J7">
        <v>18.684424928361256</v>
      </c>
      <c r="K7">
        <v>11.745538674517837</v>
      </c>
    </row>
    <row r="8" spans="1:12" x14ac:dyDescent="0.3">
      <c r="G8" s="22">
        <v>6</v>
      </c>
      <c r="H8" s="20">
        <f t="shared" si="0"/>
        <v>0.2242130991403351</v>
      </c>
      <c r="I8">
        <v>100</v>
      </c>
      <c r="J8">
        <v>22.421309914033511</v>
      </c>
      <c r="K8">
        <v>12.513575691305686</v>
      </c>
    </row>
    <row r="9" spans="1:12" x14ac:dyDescent="0.3">
      <c r="A9" s="3" t="s">
        <v>43</v>
      </c>
      <c r="C9" s="4">
        <v>10</v>
      </c>
      <c r="D9" s="1" t="s">
        <v>2</v>
      </c>
      <c r="G9" s="22">
        <v>7</v>
      </c>
      <c r="H9" s="20">
        <f t="shared" si="0"/>
        <v>0.26158194899705761</v>
      </c>
      <c r="I9">
        <v>100</v>
      </c>
      <c r="J9">
        <v>26.158194899705762</v>
      </c>
      <c r="K9">
        <v>13.421255802054963</v>
      </c>
    </row>
    <row r="10" spans="1:12" x14ac:dyDescent="0.3">
      <c r="A10" s="3" t="s">
        <v>44</v>
      </c>
      <c r="C10" s="4">
        <v>20</v>
      </c>
      <c r="D10" s="1" t="s">
        <v>2</v>
      </c>
      <c r="G10" s="22">
        <v>8</v>
      </c>
      <c r="H10" s="20">
        <f t="shared" si="0"/>
        <v>0.29895079885378012</v>
      </c>
      <c r="I10">
        <v>100</v>
      </c>
      <c r="J10">
        <v>29.895079885378014</v>
      </c>
      <c r="K10">
        <v>14.468579006765665</v>
      </c>
    </row>
    <row r="11" spans="1:12" x14ac:dyDescent="0.3">
      <c r="A11" s="3" t="s">
        <v>27</v>
      </c>
      <c r="C11" t="s">
        <v>28</v>
      </c>
      <c r="G11" s="22">
        <v>9</v>
      </c>
      <c r="H11" s="20">
        <f t="shared" si="0"/>
        <v>0.33631964871050263</v>
      </c>
      <c r="I11">
        <v>100</v>
      </c>
      <c r="J11">
        <v>33.631964871050265</v>
      </c>
      <c r="K11">
        <v>15.655545305437794</v>
      </c>
    </row>
    <row r="12" spans="1:12" x14ac:dyDescent="0.3">
      <c r="B12" s="8" t="s">
        <v>6</v>
      </c>
      <c r="C12" s="8" t="s">
        <v>7</v>
      </c>
      <c r="D12" s="8" t="s">
        <v>8</v>
      </c>
      <c r="E12" s="8" t="s">
        <v>5</v>
      </c>
      <c r="F12" s="8" t="s">
        <v>9</v>
      </c>
      <c r="G12" s="22">
        <v>10</v>
      </c>
      <c r="H12" s="20">
        <f t="shared" si="0"/>
        <v>0.37368849856722514</v>
      </c>
      <c r="I12">
        <v>100</v>
      </c>
      <c r="J12">
        <v>37.368849856722512</v>
      </c>
      <c r="K12">
        <v>16.982154698071351</v>
      </c>
    </row>
    <row r="13" spans="1:12" x14ac:dyDescent="0.3">
      <c r="A13" s="12"/>
      <c r="B13" s="12" t="s">
        <v>0</v>
      </c>
      <c r="C13" s="12" t="s">
        <v>1</v>
      </c>
      <c r="D13" s="12" t="s">
        <v>2</v>
      </c>
      <c r="E13" s="12" t="s">
        <v>3</v>
      </c>
      <c r="F13" s="12" t="s">
        <v>5</v>
      </c>
      <c r="G13" s="22">
        <v>11</v>
      </c>
      <c r="H13" s="20">
        <f t="shared" si="0"/>
        <v>0.41105734842394764</v>
      </c>
      <c r="I13">
        <v>100</v>
      </c>
      <c r="J13">
        <v>41.105734842394767</v>
      </c>
      <c r="K13">
        <v>18.448407184666337</v>
      </c>
    </row>
    <row r="14" spans="1:12" x14ac:dyDescent="0.3">
      <c r="A14" s="5" t="s">
        <v>12</v>
      </c>
      <c r="B14" s="5"/>
      <c r="C14" s="5">
        <v>0</v>
      </c>
      <c r="D14" s="5">
        <v>10</v>
      </c>
      <c r="E14" s="5">
        <v>0</v>
      </c>
      <c r="F14" s="5">
        <v>0</v>
      </c>
      <c r="G14" s="22">
        <v>12</v>
      </c>
      <c r="H14" s="20">
        <f t="shared" si="0"/>
        <v>0.44842619828067021</v>
      </c>
      <c r="I14">
        <v>-100</v>
      </c>
      <c r="J14">
        <v>44.60009927192457</v>
      </c>
      <c r="K14">
        <v>20.05415572467237</v>
      </c>
    </row>
    <row r="15" spans="1:12" x14ac:dyDescent="0.3">
      <c r="A15" s="16" t="s">
        <v>13</v>
      </c>
      <c r="B15" s="16">
        <v>100</v>
      </c>
      <c r="C15" s="16"/>
      <c r="D15" s="16">
        <v>10</v>
      </c>
      <c r="E15" s="16">
        <v>5.9628479399994392</v>
      </c>
      <c r="F15" s="16">
        <v>0.44721359549995793</v>
      </c>
      <c r="G15" s="22">
        <v>13</v>
      </c>
      <c r="H15" s="20">
        <f t="shared" si="0"/>
        <v>0.48579504813739272</v>
      </c>
      <c r="I15">
        <v>-100</v>
      </c>
      <c r="J15">
        <v>40.863214286252315</v>
      </c>
      <c r="K15">
        <v>21.650988590979125</v>
      </c>
    </row>
    <row r="16" spans="1:12" x14ac:dyDescent="0.3">
      <c r="A16" s="7" t="s">
        <v>14</v>
      </c>
      <c r="B16" s="7"/>
      <c r="C16" s="7">
        <v>44.721359549995796</v>
      </c>
      <c r="D16" s="7">
        <v>20</v>
      </c>
      <c r="E16" s="7">
        <v>5.9628479399994392</v>
      </c>
      <c r="F16" s="7">
        <v>0.44721359549995793</v>
      </c>
      <c r="G16" s="22">
        <v>14</v>
      </c>
      <c r="H16" s="20">
        <f t="shared" si="0"/>
        <v>0.52316389799411522</v>
      </c>
      <c r="I16">
        <v>-100</v>
      </c>
      <c r="J16">
        <v>37.126329300580068</v>
      </c>
      <c r="K16">
        <v>23.108178363324452</v>
      </c>
    </row>
    <row r="17" spans="1:11" x14ac:dyDescent="0.3">
      <c r="A17" s="16" t="s">
        <v>15</v>
      </c>
      <c r="B17" s="16">
        <v>0</v>
      </c>
      <c r="C17" s="16">
        <v>44.721359549995796</v>
      </c>
      <c r="D17" s="16">
        <v>0</v>
      </c>
      <c r="E17" s="16">
        <v>0</v>
      </c>
      <c r="F17" s="16">
        <v>0</v>
      </c>
      <c r="G17" s="22">
        <v>15</v>
      </c>
      <c r="H17" s="20">
        <f t="shared" si="0"/>
        <v>0.56053274785083773</v>
      </c>
      <c r="I17">
        <v>-100</v>
      </c>
      <c r="J17">
        <v>33.38944431490782</v>
      </c>
      <c r="K17">
        <v>24.42572504170835</v>
      </c>
    </row>
    <row r="18" spans="1:11" x14ac:dyDescent="0.3">
      <c r="A18" s="7" t="s">
        <v>16</v>
      </c>
      <c r="B18" s="7"/>
      <c r="C18" s="7">
        <v>44.721359549995796</v>
      </c>
      <c r="D18" s="7">
        <v>20</v>
      </c>
      <c r="E18" s="7">
        <v>5.9628479399994392</v>
      </c>
      <c r="F18" s="7">
        <v>0.44721359549995793</v>
      </c>
      <c r="G18" s="22">
        <v>16</v>
      </c>
      <c r="H18" s="20">
        <f t="shared" si="0"/>
        <v>0.59790159770756024</v>
      </c>
      <c r="I18">
        <v>-100</v>
      </c>
      <c r="J18">
        <v>29.652559329235565</v>
      </c>
      <c r="K18">
        <v>25.603628626130824</v>
      </c>
    </row>
    <row r="19" spans="1:11" x14ac:dyDescent="0.3">
      <c r="A19" s="16" t="s">
        <v>17</v>
      </c>
      <c r="B19" s="16">
        <v>-100</v>
      </c>
      <c r="C19" s="16"/>
      <c r="D19" s="16">
        <v>10</v>
      </c>
      <c r="E19" s="16">
        <v>11.925695879998877</v>
      </c>
      <c r="F19" s="16">
        <v>0.44721359549995793</v>
      </c>
      <c r="G19" s="22">
        <v>17</v>
      </c>
      <c r="H19" s="20">
        <f t="shared" si="0"/>
        <v>0.63527044756428275</v>
      </c>
      <c r="I19">
        <v>-100</v>
      </c>
      <c r="J19">
        <v>25.915674343563314</v>
      </c>
      <c r="K19">
        <v>26.641889116591873</v>
      </c>
    </row>
    <row r="20" spans="1:11" x14ac:dyDescent="0.3">
      <c r="A20" s="7" t="s">
        <v>18</v>
      </c>
      <c r="B20" s="7"/>
      <c r="C20" s="7">
        <v>0</v>
      </c>
      <c r="D20" s="7">
        <v>30</v>
      </c>
      <c r="E20" s="7">
        <v>17.888543819998315</v>
      </c>
      <c r="F20" s="7">
        <v>0.89442719099991586</v>
      </c>
      <c r="G20" s="22">
        <v>18</v>
      </c>
      <c r="H20" s="20">
        <f t="shared" si="0"/>
        <v>0.67263929742100526</v>
      </c>
      <c r="I20">
        <v>-100</v>
      </c>
      <c r="J20">
        <v>22.178789357891063</v>
      </c>
      <c r="K20">
        <v>27.54050651309149</v>
      </c>
    </row>
    <row r="21" spans="1:11" x14ac:dyDescent="0.3">
      <c r="A21" s="16" t="s">
        <v>19</v>
      </c>
      <c r="B21" s="16">
        <v>0</v>
      </c>
      <c r="C21" s="16"/>
      <c r="D21" s="16">
        <v>0</v>
      </c>
      <c r="E21" s="16">
        <v>66.300067879159798</v>
      </c>
      <c r="F21" s="16">
        <v>2.21000226263866</v>
      </c>
      <c r="G21" s="22">
        <v>19</v>
      </c>
      <c r="H21" s="20">
        <f t="shared" si="0"/>
        <v>0.71000814727772776</v>
      </c>
      <c r="I21">
        <v>-100</v>
      </c>
      <c r="J21">
        <v>18.441904372218811</v>
      </c>
      <c r="K21">
        <v>28.299480815629686</v>
      </c>
    </row>
    <row r="22" spans="1:11" x14ac:dyDescent="0.3">
      <c r="A22" s="7" t="s">
        <v>20</v>
      </c>
      <c r="B22" s="7"/>
      <c r="C22" s="7">
        <v>0</v>
      </c>
      <c r="D22" s="7">
        <v>30</v>
      </c>
      <c r="E22" s="7">
        <v>84.188611699158116</v>
      </c>
      <c r="F22" s="7">
        <v>3.1044294536385757</v>
      </c>
      <c r="G22" s="22">
        <v>20</v>
      </c>
      <c r="H22" s="20">
        <f t="shared" si="0"/>
        <v>0.74737699713445027</v>
      </c>
      <c r="I22">
        <v>-100</v>
      </c>
      <c r="J22">
        <v>14.70501938654656</v>
      </c>
      <c r="K22">
        <v>28.918812024206449</v>
      </c>
    </row>
    <row r="23" spans="1:11" x14ac:dyDescent="0.3">
      <c r="A23" s="16" t="s">
        <v>21</v>
      </c>
      <c r="B23" s="16">
        <v>-100</v>
      </c>
      <c r="C23" s="16"/>
      <c r="D23" s="16">
        <v>-5</v>
      </c>
      <c r="E23" s="16">
        <v>8.9597867038104084</v>
      </c>
      <c r="F23" s="16">
        <v>0.31622776601683794</v>
      </c>
      <c r="G23" s="22">
        <v>21</v>
      </c>
      <c r="H23" s="20">
        <f t="shared" si="0"/>
        <v>0.78474584699117278</v>
      </c>
      <c r="I23">
        <v>-100</v>
      </c>
      <c r="J23">
        <v>10.968134400874312</v>
      </c>
      <c r="K23">
        <v>29.398500138821788</v>
      </c>
    </row>
    <row r="24" spans="1:11" x14ac:dyDescent="0.3">
      <c r="A24" s="7" t="s">
        <v>22</v>
      </c>
      <c r="B24" s="7"/>
      <c r="C24" s="7">
        <v>-31.622776601683793</v>
      </c>
      <c r="D24" s="7">
        <v>25</v>
      </c>
      <c r="E24" s="7">
        <v>93.148398402968525</v>
      </c>
      <c r="F24" s="7">
        <v>3.4206572196554137</v>
      </c>
      <c r="G24" s="22">
        <v>22</v>
      </c>
      <c r="H24" s="20">
        <f t="shared" si="0"/>
        <v>0.82211469684789529</v>
      </c>
      <c r="I24">
        <v>-100</v>
      </c>
      <c r="J24">
        <v>7.2312494152020577</v>
      </c>
      <c r="K24">
        <v>29.738545159475699</v>
      </c>
    </row>
    <row r="25" spans="1:11" x14ac:dyDescent="0.3">
      <c r="A25" s="16" t="s">
        <v>23</v>
      </c>
      <c r="B25" s="16">
        <v>0</v>
      </c>
      <c r="C25" s="16">
        <v>-31.622776601683793</v>
      </c>
      <c r="D25" s="16">
        <v>0</v>
      </c>
      <c r="E25" s="16">
        <v>0</v>
      </c>
      <c r="F25" s="16">
        <v>0</v>
      </c>
      <c r="G25" s="22">
        <v>23</v>
      </c>
      <c r="H25" s="20">
        <f t="shared" si="0"/>
        <v>0.8594835467046178</v>
      </c>
      <c r="I25">
        <v>-100</v>
      </c>
      <c r="J25">
        <v>3.49436442952981</v>
      </c>
      <c r="K25">
        <v>29.938947086168184</v>
      </c>
    </row>
    <row r="26" spans="1:11" x14ac:dyDescent="0.3">
      <c r="A26" s="7" t="s">
        <v>24</v>
      </c>
      <c r="B26" s="7"/>
      <c r="C26" s="7">
        <v>-31.622776601683793</v>
      </c>
      <c r="D26" s="7">
        <v>25</v>
      </c>
      <c r="E26" s="7">
        <v>93.148398402968525</v>
      </c>
      <c r="F26" s="7">
        <v>3.4206572196554137</v>
      </c>
      <c r="G26" s="22">
        <v>24</v>
      </c>
      <c r="H26" s="20">
        <f t="shared" si="0"/>
        <v>0.89685239656134041</v>
      </c>
      <c r="I26">
        <v>0</v>
      </c>
      <c r="J26">
        <v>0</v>
      </c>
      <c r="K26">
        <v>30</v>
      </c>
    </row>
    <row r="27" spans="1:11" x14ac:dyDescent="0.3">
      <c r="A27" s="16" t="s">
        <v>25</v>
      </c>
      <c r="B27" s="16">
        <v>100</v>
      </c>
      <c r="C27" s="16"/>
      <c r="D27" s="16">
        <v>-5</v>
      </c>
      <c r="E27" s="16">
        <v>6.8516015970314887</v>
      </c>
      <c r="F27" s="16">
        <v>0.31622776601683794</v>
      </c>
      <c r="G27" s="22">
        <v>25</v>
      </c>
      <c r="H27" s="20">
        <f t="shared" si="0"/>
        <v>0.93422124641806292</v>
      </c>
      <c r="I27">
        <v>0</v>
      </c>
      <c r="J27">
        <v>0</v>
      </c>
      <c r="K27">
        <v>30</v>
      </c>
    </row>
    <row r="28" spans="1:11" x14ac:dyDescent="0.3">
      <c r="A28" s="5" t="s">
        <v>26</v>
      </c>
      <c r="B28" s="5"/>
      <c r="C28" s="5">
        <v>0</v>
      </c>
      <c r="D28" s="5">
        <v>20</v>
      </c>
      <c r="E28" s="5">
        <v>100.00000000000001</v>
      </c>
      <c r="F28" s="5">
        <v>3.7368849856722517</v>
      </c>
      <c r="G28" s="22">
        <v>26</v>
      </c>
      <c r="H28" s="20">
        <f t="shared" si="0"/>
        <v>0.97159009627478543</v>
      </c>
      <c r="I28">
        <v>0</v>
      </c>
      <c r="J28">
        <v>0</v>
      </c>
      <c r="K28">
        <v>30</v>
      </c>
    </row>
    <row r="29" spans="1:11" x14ac:dyDescent="0.3">
      <c r="D29"/>
      <c r="G29" s="22">
        <v>27</v>
      </c>
      <c r="H29" s="20">
        <f t="shared" si="0"/>
        <v>1.0089589461315078</v>
      </c>
      <c r="I29">
        <v>0</v>
      </c>
      <c r="J29">
        <v>0</v>
      </c>
      <c r="K29">
        <v>30</v>
      </c>
    </row>
    <row r="30" spans="1:11" x14ac:dyDescent="0.3">
      <c r="A30" s="13"/>
      <c r="B30" s="13"/>
      <c r="C30" s="13"/>
      <c r="D30" s="13"/>
      <c r="G30" s="22">
        <v>28</v>
      </c>
      <c r="H30" s="20">
        <f t="shared" si="0"/>
        <v>1.0463277959882304</v>
      </c>
      <c r="I30">
        <v>0</v>
      </c>
      <c r="J30">
        <v>0</v>
      </c>
      <c r="K30">
        <v>30</v>
      </c>
    </row>
    <row r="31" spans="1:11" x14ac:dyDescent="0.3">
      <c r="A31" s="18"/>
      <c r="B31" s="18"/>
      <c r="C31" s="18"/>
      <c r="D31" s="18"/>
      <c r="G31" s="22">
        <v>29</v>
      </c>
      <c r="H31" s="20">
        <f t="shared" si="0"/>
        <v>1.0836966458449528</v>
      </c>
      <c r="I31">
        <v>0</v>
      </c>
      <c r="J31">
        <v>0</v>
      </c>
      <c r="K31">
        <v>30</v>
      </c>
    </row>
    <row r="32" spans="1:11" x14ac:dyDescent="0.3">
      <c r="A32" s="14"/>
      <c r="B32" s="14"/>
      <c r="C32" s="14"/>
      <c r="D32" s="14"/>
      <c r="G32" s="22">
        <v>30</v>
      </c>
      <c r="H32" s="20">
        <f t="shared" si="0"/>
        <v>1.1210654957016755</v>
      </c>
      <c r="I32">
        <v>0</v>
      </c>
      <c r="J32">
        <v>0</v>
      </c>
      <c r="K32">
        <v>30</v>
      </c>
    </row>
    <row r="33" spans="1:11" x14ac:dyDescent="0.3">
      <c r="A33" s="25"/>
      <c r="B33" s="25"/>
      <c r="C33" s="25"/>
      <c r="D33" s="25"/>
      <c r="G33" s="22">
        <v>31</v>
      </c>
      <c r="H33" s="20">
        <f t="shared" si="0"/>
        <v>1.1584343455583979</v>
      </c>
      <c r="I33">
        <v>0</v>
      </c>
      <c r="J33">
        <v>0</v>
      </c>
      <c r="K33">
        <v>30</v>
      </c>
    </row>
    <row r="34" spans="1:11" x14ac:dyDescent="0.3">
      <c r="A34" s="9"/>
      <c r="B34" s="9"/>
      <c r="C34" s="9"/>
      <c r="D34" s="10"/>
      <c r="G34" s="22">
        <v>32</v>
      </c>
      <c r="H34" s="20">
        <f t="shared" si="0"/>
        <v>1.1958031954151205</v>
      </c>
      <c r="I34">
        <v>0</v>
      </c>
      <c r="J34">
        <v>0</v>
      </c>
      <c r="K34">
        <v>30</v>
      </c>
    </row>
    <row r="35" spans="1:11" x14ac:dyDescent="0.3">
      <c r="A35" s="23"/>
      <c r="B35" s="9"/>
      <c r="C35" s="9"/>
      <c r="D35" s="10"/>
      <c r="G35" s="22">
        <v>33</v>
      </c>
      <c r="H35" s="20">
        <f t="shared" si="0"/>
        <v>1.2331720452718431</v>
      </c>
      <c r="I35">
        <v>0</v>
      </c>
      <c r="J35">
        <v>0</v>
      </c>
      <c r="K35">
        <v>30</v>
      </c>
    </row>
    <row r="36" spans="1:11" x14ac:dyDescent="0.3">
      <c r="A36" s="24"/>
      <c r="B36" s="11"/>
      <c r="C36" s="9"/>
      <c r="D36" s="10"/>
      <c r="G36" s="22">
        <v>34</v>
      </c>
      <c r="H36" s="20">
        <f t="shared" si="0"/>
        <v>1.2705408951285655</v>
      </c>
      <c r="I36">
        <v>0</v>
      </c>
      <c r="J36">
        <v>0</v>
      </c>
      <c r="K36">
        <v>30</v>
      </c>
    </row>
    <row r="37" spans="1:11" x14ac:dyDescent="0.3">
      <c r="A37" s="9"/>
      <c r="B37" s="9"/>
      <c r="C37" s="9"/>
      <c r="D37" s="10"/>
      <c r="G37" s="22">
        <v>35</v>
      </c>
      <c r="H37" s="20">
        <f t="shared" si="0"/>
        <v>1.3079097449852881</v>
      </c>
      <c r="I37">
        <v>0</v>
      </c>
      <c r="J37">
        <v>0</v>
      </c>
      <c r="K37">
        <v>30</v>
      </c>
    </row>
    <row r="38" spans="1:11" x14ac:dyDescent="0.3">
      <c r="A38" s="9"/>
      <c r="B38" s="9"/>
      <c r="C38" s="9"/>
      <c r="D38" s="10"/>
      <c r="G38" s="22">
        <v>36</v>
      </c>
      <c r="H38" s="20">
        <f t="shared" si="0"/>
        <v>1.3452785948420105</v>
      </c>
      <c r="I38">
        <v>0</v>
      </c>
      <c r="J38">
        <v>0</v>
      </c>
      <c r="K38">
        <v>30</v>
      </c>
    </row>
    <row r="39" spans="1:11" x14ac:dyDescent="0.3">
      <c r="A39" s="25"/>
      <c r="B39" s="25"/>
      <c r="C39" s="25"/>
      <c r="D39" s="25"/>
      <c r="G39" s="22">
        <v>37</v>
      </c>
      <c r="H39" s="20">
        <f t="shared" si="0"/>
        <v>1.3826474446987331</v>
      </c>
      <c r="I39">
        <v>0</v>
      </c>
      <c r="J39">
        <v>0</v>
      </c>
      <c r="K39">
        <v>30</v>
      </c>
    </row>
    <row r="40" spans="1:11" x14ac:dyDescent="0.3">
      <c r="A40" s="9"/>
      <c r="B40" s="9"/>
      <c r="C40" s="9"/>
      <c r="D40" s="10"/>
      <c r="G40" s="22">
        <v>38</v>
      </c>
      <c r="H40" s="20">
        <f t="shared" si="0"/>
        <v>1.4200162945554555</v>
      </c>
      <c r="I40">
        <v>0</v>
      </c>
      <c r="J40">
        <v>0</v>
      </c>
      <c r="K40">
        <v>30</v>
      </c>
    </row>
    <row r="41" spans="1:11" x14ac:dyDescent="0.3">
      <c r="A41" s="9"/>
      <c r="B41" s="9"/>
      <c r="C41" s="9"/>
      <c r="D41" s="10"/>
      <c r="G41" s="22">
        <v>39</v>
      </c>
      <c r="H41" s="20">
        <f t="shared" si="0"/>
        <v>1.4573851444121781</v>
      </c>
      <c r="I41">
        <v>0</v>
      </c>
      <c r="J41">
        <v>0</v>
      </c>
      <c r="K41">
        <v>30</v>
      </c>
    </row>
    <row r="42" spans="1:11" x14ac:dyDescent="0.3">
      <c r="A42" s="9"/>
      <c r="B42" s="11"/>
      <c r="C42" s="9"/>
      <c r="D42" s="10"/>
      <c r="G42" s="22">
        <v>40</v>
      </c>
      <c r="H42" s="20">
        <f t="shared" si="0"/>
        <v>1.4947539942689005</v>
      </c>
      <c r="I42">
        <v>0</v>
      </c>
      <c r="J42">
        <v>0</v>
      </c>
      <c r="K42">
        <v>30</v>
      </c>
    </row>
    <row r="43" spans="1:11" x14ac:dyDescent="0.3">
      <c r="A43" s="9"/>
      <c r="B43" s="9"/>
      <c r="C43" s="9"/>
      <c r="D43" s="10"/>
      <c r="G43" s="22">
        <v>41</v>
      </c>
      <c r="H43" s="20">
        <f t="shared" si="0"/>
        <v>1.5321228441256232</v>
      </c>
      <c r="I43">
        <v>0</v>
      </c>
      <c r="J43">
        <v>0</v>
      </c>
      <c r="K43">
        <v>30</v>
      </c>
    </row>
    <row r="44" spans="1:11" x14ac:dyDescent="0.3">
      <c r="A44" s="9"/>
      <c r="B44" s="9"/>
      <c r="C44" s="9"/>
      <c r="D44" s="10"/>
      <c r="G44" s="22">
        <v>42</v>
      </c>
      <c r="H44" s="20">
        <f t="shared" si="0"/>
        <v>1.5694916939823456</v>
      </c>
      <c r="I44">
        <v>0</v>
      </c>
      <c r="J44">
        <v>0</v>
      </c>
      <c r="K44">
        <v>30</v>
      </c>
    </row>
    <row r="45" spans="1:11" x14ac:dyDescent="0.3">
      <c r="A45" s="25"/>
      <c r="B45" s="25"/>
      <c r="C45" s="25"/>
      <c r="D45" s="25"/>
      <c r="G45" s="22">
        <v>43</v>
      </c>
      <c r="H45" s="20">
        <f t="shared" si="0"/>
        <v>1.6068605438390682</v>
      </c>
      <c r="I45">
        <v>0</v>
      </c>
      <c r="J45">
        <v>0</v>
      </c>
      <c r="K45">
        <v>30</v>
      </c>
    </row>
    <row r="46" spans="1:11" x14ac:dyDescent="0.3">
      <c r="A46" s="9"/>
      <c r="B46" s="9"/>
      <c r="C46" s="9"/>
      <c r="D46" s="10"/>
      <c r="G46" s="22">
        <v>44</v>
      </c>
      <c r="H46" s="20">
        <f t="shared" si="0"/>
        <v>1.6442293936957906</v>
      </c>
      <c r="I46">
        <v>0</v>
      </c>
      <c r="J46">
        <v>0</v>
      </c>
      <c r="K46">
        <v>30</v>
      </c>
    </row>
    <row r="47" spans="1:11" x14ac:dyDescent="0.3">
      <c r="A47" s="9"/>
      <c r="B47" s="9"/>
      <c r="C47" s="9"/>
      <c r="D47" s="10"/>
      <c r="G47" s="22">
        <v>45</v>
      </c>
      <c r="H47" s="20">
        <f t="shared" si="0"/>
        <v>1.6815982435525132</v>
      </c>
      <c r="I47">
        <v>0</v>
      </c>
      <c r="J47">
        <v>0</v>
      </c>
      <c r="K47">
        <v>30</v>
      </c>
    </row>
    <row r="48" spans="1:11" x14ac:dyDescent="0.3">
      <c r="A48" s="9"/>
      <c r="B48" s="11"/>
      <c r="C48" s="9"/>
      <c r="D48" s="10"/>
      <c r="G48" s="22">
        <v>46</v>
      </c>
      <c r="H48" s="20">
        <f t="shared" si="0"/>
        <v>1.7189670934092356</v>
      </c>
      <c r="I48">
        <v>0</v>
      </c>
      <c r="J48">
        <v>0</v>
      </c>
      <c r="K48">
        <v>30</v>
      </c>
    </row>
    <row r="49" spans="1:11" x14ac:dyDescent="0.3">
      <c r="A49" s="9"/>
      <c r="B49" s="9"/>
      <c r="C49" s="9"/>
      <c r="D49" s="10"/>
      <c r="G49" s="22">
        <v>47</v>
      </c>
      <c r="H49" s="20">
        <f t="shared" si="0"/>
        <v>1.7563359432659582</v>
      </c>
      <c r="I49">
        <v>0</v>
      </c>
      <c r="J49">
        <v>0</v>
      </c>
      <c r="K49">
        <v>30</v>
      </c>
    </row>
    <row r="50" spans="1:11" x14ac:dyDescent="0.3">
      <c r="A50" s="9"/>
      <c r="B50" s="9"/>
      <c r="C50" s="9"/>
      <c r="D50" s="10"/>
      <c r="G50" s="22">
        <v>48</v>
      </c>
      <c r="H50" s="20">
        <f t="shared" si="0"/>
        <v>1.7937047931226808</v>
      </c>
      <c r="I50">
        <v>0</v>
      </c>
      <c r="J50">
        <v>0</v>
      </c>
      <c r="K50">
        <v>30</v>
      </c>
    </row>
    <row r="51" spans="1:11" x14ac:dyDescent="0.3">
      <c r="A51" s="25"/>
      <c r="B51" s="25"/>
      <c r="C51" s="25"/>
      <c r="D51" s="25"/>
      <c r="G51" s="22">
        <v>49</v>
      </c>
      <c r="H51" s="20">
        <f t="shared" si="0"/>
        <v>1.8310736429794032</v>
      </c>
      <c r="I51">
        <v>0</v>
      </c>
      <c r="J51">
        <v>0</v>
      </c>
      <c r="K51">
        <v>30</v>
      </c>
    </row>
    <row r="52" spans="1:11" x14ac:dyDescent="0.3">
      <c r="A52" s="9"/>
      <c r="B52" s="9"/>
      <c r="C52" s="9"/>
      <c r="D52" s="10"/>
      <c r="G52" s="22">
        <v>50</v>
      </c>
      <c r="H52" s="20">
        <f t="shared" si="0"/>
        <v>1.8684424928361258</v>
      </c>
      <c r="I52">
        <v>0</v>
      </c>
      <c r="J52">
        <v>0</v>
      </c>
      <c r="K52">
        <v>30</v>
      </c>
    </row>
    <row r="53" spans="1:11" x14ac:dyDescent="0.3">
      <c r="A53" s="9"/>
      <c r="B53" s="9"/>
      <c r="C53" s="9"/>
      <c r="D53" s="10"/>
      <c r="G53" s="22">
        <v>51</v>
      </c>
      <c r="H53" s="20">
        <f t="shared" si="0"/>
        <v>1.9058113426928482</v>
      </c>
      <c r="I53">
        <v>0</v>
      </c>
      <c r="J53">
        <v>0</v>
      </c>
      <c r="K53">
        <v>30</v>
      </c>
    </row>
    <row r="54" spans="1:11" x14ac:dyDescent="0.3">
      <c r="A54" s="9"/>
      <c r="B54" s="11"/>
      <c r="C54" s="9"/>
      <c r="D54" s="10"/>
      <c r="G54" s="22">
        <v>52</v>
      </c>
      <c r="H54" s="20">
        <f t="shared" si="0"/>
        <v>1.9431801925495709</v>
      </c>
      <c r="I54">
        <v>0</v>
      </c>
      <c r="J54">
        <v>0</v>
      </c>
      <c r="K54">
        <v>30</v>
      </c>
    </row>
    <row r="55" spans="1:11" x14ac:dyDescent="0.3">
      <c r="A55" s="9"/>
      <c r="B55" s="9"/>
      <c r="C55" s="9"/>
      <c r="D55" s="10"/>
      <c r="G55" s="22">
        <v>53</v>
      </c>
      <c r="H55" s="20">
        <f t="shared" si="0"/>
        <v>1.9805490424062933</v>
      </c>
      <c r="I55">
        <v>0</v>
      </c>
      <c r="J55">
        <v>0</v>
      </c>
      <c r="K55">
        <v>30</v>
      </c>
    </row>
    <row r="56" spans="1:11" x14ac:dyDescent="0.3">
      <c r="A56" s="9"/>
      <c r="B56" s="9"/>
      <c r="C56" s="9"/>
      <c r="D56" s="10"/>
      <c r="G56" s="22">
        <v>54</v>
      </c>
      <c r="H56" s="20">
        <f t="shared" si="0"/>
        <v>2.0179178922630157</v>
      </c>
      <c r="I56">
        <v>0</v>
      </c>
      <c r="J56">
        <v>0</v>
      </c>
      <c r="K56">
        <v>30</v>
      </c>
    </row>
    <row r="57" spans="1:11" x14ac:dyDescent="0.3">
      <c r="A57" s="9"/>
      <c r="B57" s="9"/>
      <c r="C57" s="9"/>
      <c r="D57" s="10"/>
      <c r="G57" s="22">
        <v>55</v>
      </c>
      <c r="H57" s="20">
        <f t="shared" si="0"/>
        <v>2.0552867421197383</v>
      </c>
      <c r="I57">
        <v>0</v>
      </c>
      <c r="J57">
        <v>0</v>
      </c>
      <c r="K57">
        <v>30</v>
      </c>
    </row>
    <row r="58" spans="1:11" x14ac:dyDescent="0.3">
      <c r="A58" s="9"/>
      <c r="B58" s="9"/>
      <c r="C58" s="9"/>
      <c r="D58" s="10"/>
      <c r="G58" s="22">
        <v>56</v>
      </c>
      <c r="H58" s="20">
        <f t="shared" si="0"/>
        <v>2.0926555919764609</v>
      </c>
      <c r="I58">
        <v>0</v>
      </c>
      <c r="J58">
        <v>0</v>
      </c>
      <c r="K58">
        <v>30</v>
      </c>
    </row>
    <row r="59" spans="1:11" x14ac:dyDescent="0.3">
      <c r="A59" s="9"/>
      <c r="B59" s="9"/>
      <c r="C59" s="9"/>
      <c r="D59" s="10"/>
      <c r="G59" s="22">
        <v>57</v>
      </c>
      <c r="H59" s="20">
        <f t="shared" si="0"/>
        <v>2.1300244418331835</v>
      </c>
      <c r="I59">
        <v>0</v>
      </c>
      <c r="J59">
        <v>0</v>
      </c>
      <c r="K59">
        <v>30</v>
      </c>
    </row>
    <row r="60" spans="1:11" x14ac:dyDescent="0.3">
      <c r="A60" s="9"/>
      <c r="B60" s="9"/>
      <c r="C60" s="9"/>
      <c r="D60" s="10"/>
      <c r="G60" s="22">
        <v>58</v>
      </c>
      <c r="H60" s="20">
        <f t="shared" si="0"/>
        <v>2.1673932916899057</v>
      </c>
      <c r="I60">
        <v>0</v>
      </c>
      <c r="J60">
        <v>0</v>
      </c>
      <c r="K60">
        <v>30</v>
      </c>
    </row>
    <row r="61" spans="1:11" x14ac:dyDescent="0.3">
      <c r="A61" s="9"/>
      <c r="B61" s="9"/>
      <c r="C61" s="9"/>
      <c r="D61" s="10"/>
      <c r="G61" s="22">
        <v>59</v>
      </c>
      <c r="H61" s="20">
        <f t="shared" si="0"/>
        <v>2.2047621415466283</v>
      </c>
      <c r="I61">
        <v>0</v>
      </c>
      <c r="J61">
        <v>0</v>
      </c>
      <c r="K61">
        <v>30</v>
      </c>
    </row>
    <row r="62" spans="1:11" x14ac:dyDescent="0.3">
      <c r="A62" s="9"/>
      <c r="B62" s="9"/>
      <c r="C62" s="9"/>
      <c r="D62" s="10"/>
      <c r="G62" s="22">
        <v>60</v>
      </c>
      <c r="H62" s="20">
        <f t="shared" si="0"/>
        <v>2.2421309914033509</v>
      </c>
      <c r="I62">
        <v>0</v>
      </c>
      <c r="J62">
        <v>0</v>
      </c>
      <c r="K62">
        <v>30</v>
      </c>
    </row>
    <row r="63" spans="1:11" x14ac:dyDescent="0.3">
      <c r="G63" s="22">
        <v>61</v>
      </c>
      <c r="H63" s="20">
        <f t="shared" si="0"/>
        <v>2.2794998412600735</v>
      </c>
      <c r="I63">
        <v>0</v>
      </c>
      <c r="J63">
        <v>0</v>
      </c>
      <c r="K63">
        <v>30</v>
      </c>
    </row>
    <row r="64" spans="1:11" x14ac:dyDescent="0.3">
      <c r="G64" s="22">
        <v>62</v>
      </c>
      <c r="H64" s="20">
        <f t="shared" si="0"/>
        <v>2.3168686911167957</v>
      </c>
      <c r="I64">
        <v>0</v>
      </c>
      <c r="J64">
        <v>0</v>
      </c>
      <c r="K64">
        <v>30</v>
      </c>
    </row>
    <row r="65" spans="7:11" x14ac:dyDescent="0.3">
      <c r="G65" s="22">
        <v>63</v>
      </c>
      <c r="H65" s="20">
        <f t="shared" si="0"/>
        <v>2.3542375409735183</v>
      </c>
      <c r="I65">
        <v>0</v>
      </c>
      <c r="J65">
        <v>0</v>
      </c>
      <c r="K65">
        <v>30</v>
      </c>
    </row>
    <row r="66" spans="7:11" x14ac:dyDescent="0.3">
      <c r="G66" s="22">
        <v>64</v>
      </c>
      <c r="H66" s="20">
        <f t="shared" si="0"/>
        <v>2.391606390830241</v>
      </c>
      <c r="I66">
        <v>0</v>
      </c>
      <c r="J66">
        <v>0</v>
      </c>
      <c r="K66">
        <v>30</v>
      </c>
    </row>
    <row r="67" spans="7:11" x14ac:dyDescent="0.3">
      <c r="G67" s="22">
        <v>65</v>
      </c>
      <c r="H67" s="20">
        <f t="shared" ref="H67:H101" si="1">$G67*($C$7/100)</f>
        <v>2.4289752406869636</v>
      </c>
      <c r="I67">
        <v>0</v>
      </c>
      <c r="J67">
        <v>0</v>
      </c>
      <c r="K67">
        <v>30</v>
      </c>
    </row>
    <row r="68" spans="7:11" x14ac:dyDescent="0.3">
      <c r="G68" s="22">
        <v>66</v>
      </c>
      <c r="H68" s="20">
        <f t="shared" si="1"/>
        <v>2.4663440905436862</v>
      </c>
      <c r="I68">
        <v>0</v>
      </c>
      <c r="J68">
        <v>0</v>
      </c>
      <c r="K68">
        <v>30</v>
      </c>
    </row>
    <row r="69" spans="7:11" x14ac:dyDescent="0.3">
      <c r="G69" s="22">
        <v>67</v>
      </c>
      <c r="H69" s="20">
        <f t="shared" si="1"/>
        <v>2.5037129404004084</v>
      </c>
      <c r="I69">
        <v>0</v>
      </c>
      <c r="J69">
        <v>0</v>
      </c>
      <c r="K69">
        <v>30</v>
      </c>
    </row>
    <row r="70" spans="7:11" x14ac:dyDescent="0.3">
      <c r="G70" s="22">
        <v>68</v>
      </c>
      <c r="H70" s="20">
        <f t="shared" si="1"/>
        <v>2.541081790257131</v>
      </c>
      <c r="I70">
        <v>0</v>
      </c>
      <c r="J70">
        <v>0</v>
      </c>
      <c r="K70">
        <v>30</v>
      </c>
    </row>
    <row r="71" spans="7:11" x14ac:dyDescent="0.3">
      <c r="G71" s="22">
        <v>69</v>
      </c>
      <c r="H71" s="20">
        <f t="shared" si="1"/>
        <v>2.5784506401138536</v>
      </c>
      <c r="I71">
        <v>0</v>
      </c>
      <c r="J71">
        <v>0</v>
      </c>
      <c r="K71">
        <v>30</v>
      </c>
    </row>
    <row r="72" spans="7:11" x14ac:dyDescent="0.3">
      <c r="G72" s="22">
        <v>70</v>
      </c>
      <c r="H72" s="20">
        <f t="shared" si="1"/>
        <v>2.6158194899705762</v>
      </c>
      <c r="I72">
        <v>0</v>
      </c>
      <c r="J72">
        <v>0</v>
      </c>
      <c r="K72">
        <v>30</v>
      </c>
    </row>
    <row r="73" spans="7:11" x14ac:dyDescent="0.3">
      <c r="G73" s="22">
        <v>71</v>
      </c>
      <c r="H73" s="20">
        <f t="shared" si="1"/>
        <v>2.6531883398272984</v>
      </c>
      <c r="I73">
        <v>0</v>
      </c>
      <c r="J73">
        <v>0</v>
      </c>
      <c r="K73">
        <v>30</v>
      </c>
    </row>
    <row r="74" spans="7:11" x14ac:dyDescent="0.3">
      <c r="G74" s="22">
        <v>72</v>
      </c>
      <c r="H74" s="20">
        <f t="shared" si="1"/>
        <v>2.690557189684021</v>
      </c>
      <c r="I74">
        <v>0</v>
      </c>
      <c r="J74">
        <v>0</v>
      </c>
      <c r="K74">
        <v>30</v>
      </c>
    </row>
    <row r="75" spans="7:11" x14ac:dyDescent="0.3">
      <c r="G75" s="22">
        <v>73</v>
      </c>
      <c r="H75" s="20">
        <f t="shared" si="1"/>
        <v>2.7279260395407436</v>
      </c>
      <c r="I75">
        <v>0</v>
      </c>
      <c r="J75">
        <v>0</v>
      </c>
      <c r="K75">
        <v>30</v>
      </c>
    </row>
    <row r="76" spans="7:11" x14ac:dyDescent="0.3">
      <c r="G76" s="22">
        <v>74</v>
      </c>
      <c r="H76" s="20">
        <f t="shared" si="1"/>
        <v>2.7652948893974663</v>
      </c>
      <c r="I76">
        <v>0</v>
      </c>
      <c r="J76">
        <v>0</v>
      </c>
      <c r="K76">
        <v>30</v>
      </c>
    </row>
    <row r="77" spans="7:11" x14ac:dyDescent="0.3">
      <c r="G77" s="22">
        <v>75</v>
      </c>
      <c r="H77" s="20">
        <f t="shared" si="1"/>
        <v>2.8026637392541884</v>
      </c>
      <c r="I77">
        <v>0</v>
      </c>
      <c r="J77">
        <v>0</v>
      </c>
      <c r="K77">
        <v>30</v>
      </c>
    </row>
    <row r="78" spans="7:11" x14ac:dyDescent="0.3">
      <c r="G78" s="22">
        <v>76</v>
      </c>
      <c r="H78" s="20">
        <f t="shared" si="1"/>
        <v>2.8400325891109111</v>
      </c>
      <c r="I78">
        <v>0</v>
      </c>
      <c r="J78">
        <v>0</v>
      </c>
      <c r="K78">
        <v>30</v>
      </c>
    </row>
    <row r="79" spans="7:11" x14ac:dyDescent="0.3">
      <c r="G79" s="22">
        <v>77</v>
      </c>
      <c r="H79" s="20">
        <f t="shared" si="1"/>
        <v>2.8774014389676337</v>
      </c>
      <c r="I79">
        <v>0</v>
      </c>
      <c r="J79">
        <v>0</v>
      </c>
      <c r="K79">
        <v>30</v>
      </c>
    </row>
    <row r="80" spans="7:11" x14ac:dyDescent="0.3">
      <c r="G80" s="22">
        <v>78</v>
      </c>
      <c r="H80" s="20">
        <f t="shared" si="1"/>
        <v>2.9147702888243563</v>
      </c>
      <c r="I80">
        <v>0</v>
      </c>
      <c r="J80">
        <v>0</v>
      </c>
      <c r="K80">
        <v>30</v>
      </c>
    </row>
    <row r="81" spans="7:11" x14ac:dyDescent="0.3">
      <c r="G81" s="22">
        <v>79</v>
      </c>
      <c r="H81" s="20">
        <f t="shared" si="1"/>
        <v>2.9521391386810785</v>
      </c>
      <c r="I81">
        <v>0</v>
      </c>
      <c r="J81">
        <v>0</v>
      </c>
      <c r="K81">
        <v>30</v>
      </c>
    </row>
    <row r="82" spans="7:11" x14ac:dyDescent="0.3">
      <c r="G82" s="22">
        <v>80</v>
      </c>
      <c r="H82" s="20">
        <f t="shared" si="1"/>
        <v>2.9895079885378011</v>
      </c>
      <c r="I82">
        <v>0</v>
      </c>
      <c r="J82">
        <v>0</v>
      </c>
      <c r="K82">
        <v>30</v>
      </c>
    </row>
    <row r="83" spans="7:11" x14ac:dyDescent="0.3">
      <c r="G83" s="22">
        <v>81</v>
      </c>
      <c r="H83" s="20">
        <f t="shared" si="1"/>
        <v>3.0268768383945237</v>
      </c>
      <c r="I83">
        <v>0</v>
      </c>
      <c r="J83">
        <v>0</v>
      </c>
      <c r="K83">
        <v>30</v>
      </c>
    </row>
    <row r="84" spans="7:11" x14ac:dyDescent="0.3">
      <c r="G84" s="22">
        <v>82</v>
      </c>
      <c r="H84" s="20">
        <f t="shared" si="1"/>
        <v>3.0642456882512463</v>
      </c>
      <c r="I84">
        <v>0</v>
      </c>
      <c r="J84">
        <v>0</v>
      </c>
      <c r="K84">
        <v>30</v>
      </c>
    </row>
    <row r="85" spans="7:11" x14ac:dyDescent="0.3">
      <c r="G85" s="22">
        <v>83</v>
      </c>
      <c r="H85" s="20">
        <f t="shared" si="1"/>
        <v>3.1016145381079689</v>
      </c>
      <c r="I85">
        <v>0</v>
      </c>
      <c r="J85">
        <v>0</v>
      </c>
      <c r="K85">
        <v>30</v>
      </c>
    </row>
    <row r="86" spans="7:11" x14ac:dyDescent="0.3">
      <c r="G86" s="22">
        <v>84</v>
      </c>
      <c r="H86" s="20">
        <f t="shared" si="1"/>
        <v>3.1389833879646911</v>
      </c>
      <c r="I86">
        <v>-100</v>
      </c>
      <c r="J86">
        <v>-3.4553934326115421</v>
      </c>
      <c r="K86">
        <v>29.940301281129326</v>
      </c>
    </row>
    <row r="87" spans="7:11" x14ac:dyDescent="0.3">
      <c r="G87" s="22">
        <v>85</v>
      </c>
      <c r="H87" s="20">
        <f t="shared" si="1"/>
        <v>3.1763522378214137</v>
      </c>
      <c r="I87">
        <v>-100</v>
      </c>
      <c r="J87">
        <v>-7.192278418283804</v>
      </c>
      <c r="K87">
        <v>29.741355655769446</v>
      </c>
    </row>
    <row r="88" spans="7:11" x14ac:dyDescent="0.3">
      <c r="G88" s="22">
        <v>86</v>
      </c>
      <c r="H88" s="20">
        <f t="shared" si="1"/>
        <v>3.2137210876781364</v>
      </c>
      <c r="I88">
        <v>-100</v>
      </c>
      <c r="J88">
        <v>-10.929163403956066</v>
      </c>
      <c r="K88">
        <v>29.402766936448138</v>
      </c>
    </row>
    <row r="89" spans="7:11" x14ac:dyDescent="0.3">
      <c r="G89" s="22">
        <v>87</v>
      </c>
      <c r="H89" s="20">
        <f t="shared" si="1"/>
        <v>3.251089937534859</v>
      </c>
      <c r="I89">
        <v>-100</v>
      </c>
      <c r="J89">
        <v>-14.666048389628328</v>
      </c>
      <c r="K89">
        <v>28.924535123165402</v>
      </c>
    </row>
    <row r="90" spans="7:11" x14ac:dyDescent="0.3">
      <c r="G90" s="22">
        <v>88</v>
      </c>
      <c r="H90" s="20">
        <f t="shared" si="1"/>
        <v>3.2884587873915812</v>
      </c>
      <c r="I90">
        <v>-100</v>
      </c>
      <c r="J90">
        <v>-18.402933375300545</v>
      </c>
      <c r="K90">
        <v>28.306660215921248</v>
      </c>
    </row>
    <row r="91" spans="7:11" x14ac:dyDescent="0.3">
      <c r="G91" s="22">
        <v>89</v>
      </c>
      <c r="H91" s="20">
        <f t="shared" si="1"/>
        <v>3.3258276372483038</v>
      </c>
      <c r="I91">
        <v>-100</v>
      </c>
      <c r="J91">
        <v>-22.139818360972807</v>
      </c>
      <c r="K91">
        <v>27.549142214715658</v>
      </c>
    </row>
    <row r="92" spans="7:11" x14ac:dyDescent="0.3">
      <c r="G92" s="22">
        <v>90</v>
      </c>
      <c r="H92" s="20">
        <f t="shared" si="1"/>
        <v>3.3631964871050264</v>
      </c>
      <c r="I92">
        <v>-100</v>
      </c>
      <c r="J92">
        <v>-25.876703346645069</v>
      </c>
      <c r="K92">
        <v>26.65198111954864</v>
      </c>
    </row>
    <row r="93" spans="7:11" x14ac:dyDescent="0.3">
      <c r="G93" s="22">
        <v>91</v>
      </c>
      <c r="H93" s="20">
        <f t="shared" si="1"/>
        <v>3.400565336961749</v>
      </c>
      <c r="I93">
        <v>-100</v>
      </c>
      <c r="J93">
        <v>-29.613588332317331</v>
      </c>
      <c r="K93">
        <v>25.615176930420194</v>
      </c>
    </row>
    <row r="94" spans="7:11" x14ac:dyDescent="0.3">
      <c r="G94" s="22">
        <v>92</v>
      </c>
      <c r="H94" s="20">
        <f t="shared" si="1"/>
        <v>3.4379341868184712</v>
      </c>
      <c r="I94">
        <v>100</v>
      </c>
      <c r="J94">
        <v>-29.895079885378046</v>
      </c>
      <c r="K94">
        <v>24.468579006765676</v>
      </c>
    </row>
    <row r="95" spans="7:11" x14ac:dyDescent="0.3">
      <c r="G95" s="22">
        <v>93</v>
      </c>
      <c r="H95" s="20">
        <f t="shared" si="1"/>
        <v>3.4753030366751938</v>
      </c>
      <c r="I95">
        <v>100</v>
      </c>
      <c r="J95">
        <v>-26.158194899705784</v>
      </c>
      <c r="K95">
        <v>23.421255802054969</v>
      </c>
    </row>
    <row r="96" spans="7:11" x14ac:dyDescent="0.3">
      <c r="G96" s="22">
        <v>94</v>
      </c>
      <c r="H96" s="20">
        <f t="shared" si="1"/>
        <v>3.5126718865319164</v>
      </c>
      <c r="I96">
        <v>100</v>
      </c>
      <c r="J96">
        <v>-22.421309914033522</v>
      </c>
      <c r="K96">
        <v>22.513575691305689</v>
      </c>
    </row>
    <row r="97" spans="7:11" x14ac:dyDescent="0.3">
      <c r="G97" s="22">
        <v>95</v>
      </c>
      <c r="H97" s="20">
        <f t="shared" si="1"/>
        <v>3.550040736388639</v>
      </c>
      <c r="I97">
        <v>100</v>
      </c>
      <c r="J97">
        <v>-18.68442492836126</v>
      </c>
      <c r="K97">
        <v>21.745538674517839</v>
      </c>
    </row>
    <row r="98" spans="7:11" x14ac:dyDescent="0.3">
      <c r="G98" s="22">
        <v>96</v>
      </c>
      <c r="H98" s="20">
        <f t="shared" si="1"/>
        <v>3.5874095862453617</v>
      </c>
      <c r="I98">
        <v>100</v>
      </c>
      <c r="J98">
        <v>-14.947539942688994</v>
      </c>
      <c r="K98">
        <v>21.117144751691416</v>
      </c>
    </row>
    <row r="99" spans="7:11" x14ac:dyDescent="0.3">
      <c r="G99" s="22">
        <v>97</v>
      </c>
      <c r="H99" s="20">
        <f t="shared" si="1"/>
        <v>3.6247784361020838</v>
      </c>
      <c r="I99">
        <v>100</v>
      </c>
      <c r="J99">
        <v>-11.210654957016779</v>
      </c>
      <c r="K99">
        <v>20.628393922826426</v>
      </c>
    </row>
    <row r="100" spans="7:11" x14ac:dyDescent="0.3">
      <c r="G100" s="22">
        <v>98</v>
      </c>
      <c r="H100" s="20">
        <f t="shared" si="1"/>
        <v>3.6621472859588065</v>
      </c>
      <c r="I100">
        <v>100</v>
      </c>
      <c r="J100">
        <v>-7.4737699713445167</v>
      </c>
      <c r="K100">
        <v>20.279286187922857</v>
      </c>
    </row>
    <row r="101" spans="7:11" x14ac:dyDescent="0.3">
      <c r="G101" s="22">
        <v>99</v>
      </c>
      <c r="H101" s="20">
        <f t="shared" si="1"/>
        <v>3.6995161358155291</v>
      </c>
      <c r="I101">
        <v>100</v>
      </c>
      <c r="J101">
        <v>-3.7368849856722548</v>
      </c>
      <c r="K101">
        <v>20.069821546980712</v>
      </c>
    </row>
  </sheetData>
  <mergeCells count="4">
    <mergeCell ref="A33:D33"/>
    <mergeCell ref="A39:D39"/>
    <mergeCell ref="A45:D45"/>
    <mergeCell ref="A51:D51"/>
  </mergeCells>
  <conditionalFormatting sqref="A15:F15">
    <cfRule type="expression" dxfId="6" priority="7">
      <formula>($F15&gt;0)</formula>
    </cfRule>
  </conditionalFormatting>
  <conditionalFormatting sqref="A17:F17">
    <cfRule type="expression" dxfId="5" priority="6">
      <formula>($F17&gt;0)</formula>
    </cfRule>
  </conditionalFormatting>
  <conditionalFormatting sqref="A19:F19">
    <cfRule type="expression" dxfId="4" priority="5">
      <formula>($F19&gt;0)</formula>
    </cfRule>
  </conditionalFormatting>
  <conditionalFormatting sqref="A21:F21">
    <cfRule type="expression" dxfId="3" priority="4">
      <formula>($F21&gt;0)</formula>
    </cfRule>
  </conditionalFormatting>
  <conditionalFormatting sqref="A23:F23">
    <cfRule type="expression" dxfId="2" priority="3">
      <formula>$F$23&gt;0</formula>
    </cfRule>
  </conditionalFormatting>
  <conditionalFormatting sqref="A25:F25">
    <cfRule type="expression" dxfId="1" priority="2">
      <formula>$F$25&gt;0</formula>
    </cfRule>
  </conditionalFormatting>
  <conditionalFormatting sqref="A27:F27">
    <cfRule type="expression" dxfId="0" priority="1">
      <formula>$F$27&gt;0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c3rdorder">
                <anchor moveWithCells="1" sizeWithCells="1">
                  <from>
                    <xdr:col>4</xdr:col>
                    <xdr:colOff>274320</xdr:colOff>
                    <xdr:row>5</xdr:row>
                    <xdr:rowOff>121920</xdr:rowOff>
                  </from>
                  <to>
                    <xdr:col>6</xdr:col>
                    <xdr:colOff>304800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Blad1!$A$1:$A$2</xm:f>
          </x14:formula1>
          <xm:sqref>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L102"/>
  <sheetViews>
    <sheetView zoomScaleNormal="100" workbookViewId="0">
      <selection activeCell="C4" sqref="C4"/>
    </sheetView>
  </sheetViews>
  <sheetFormatPr defaultRowHeight="14.4" x14ac:dyDescent="0.3"/>
  <cols>
    <col min="1" max="1" width="12.33203125" customWidth="1"/>
    <col min="2" max="2" width="29.6640625" bestFit="1" customWidth="1"/>
    <col min="4" max="4" width="9.109375" style="1"/>
  </cols>
  <sheetData>
    <row r="1" spans="1:12" x14ac:dyDescent="0.3">
      <c r="H1" s="2" t="s">
        <v>4</v>
      </c>
      <c r="I1" s="2" t="s">
        <v>9</v>
      </c>
      <c r="J1" s="2" t="s">
        <v>7</v>
      </c>
      <c r="K1" s="2" t="s">
        <v>8</v>
      </c>
      <c r="L1" s="2" t="s">
        <v>5</v>
      </c>
    </row>
    <row r="2" spans="1:12" x14ac:dyDescent="0.3">
      <c r="A2" s="3" t="s">
        <v>39</v>
      </c>
      <c r="B2" t="s">
        <v>30</v>
      </c>
      <c r="C2" s="4">
        <v>100</v>
      </c>
      <c r="D2" s="1" t="s">
        <v>1</v>
      </c>
      <c r="H2">
        <v>0</v>
      </c>
      <c r="I2">
        <f>H2*$C$7/100</f>
        <v>0</v>
      </c>
      <c r="J2">
        <v>100</v>
      </c>
      <c r="K2">
        <v>50</v>
      </c>
      <c r="L2">
        <v>0</v>
      </c>
    </row>
    <row r="3" spans="1:12" x14ac:dyDescent="0.3">
      <c r="A3" s="3" t="s">
        <v>40</v>
      </c>
      <c r="B3" t="s">
        <v>31</v>
      </c>
      <c r="C3" s="4">
        <v>100</v>
      </c>
      <c r="D3" s="1" t="s">
        <v>1</v>
      </c>
      <c r="H3">
        <v>1</v>
      </c>
      <c r="I3">
        <f t="shared" ref="I3:I66" si="0">H3*$C$7/100</f>
        <v>2.5166666666666671E-2</v>
      </c>
      <c r="J3">
        <v>100</v>
      </c>
      <c r="K3">
        <v>52.516666666666666</v>
      </c>
      <c r="L3">
        <v>1.290001388888889</v>
      </c>
    </row>
    <row r="4" spans="1:12" x14ac:dyDescent="0.3">
      <c r="A4" s="3" t="s">
        <v>41</v>
      </c>
      <c r="B4" t="s">
        <v>32</v>
      </c>
      <c r="C4" s="4">
        <v>60</v>
      </c>
      <c r="D4" s="1" t="s">
        <v>2</v>
      </c>
      <c r="E4">
        <f>C4*60</f>
        <v>3600</v>
      </c>
      <c r="F4" s="1" t="s">
        <v>11</v>
      </c>
      <c r="G4" s="1"/>
      <c r="H4">
        <v>2</v>
      </c>
      <c r="I4">
        <f t="shared" si="0"/>
        <v>5.0333333333333341E-2</v>
      </c>
      <c r="J4">
        <v>100</v>
      </c>
      <c r="K4">
        <v>55.033333333333331</v>
      </c>
      <c r="L4">
        <v>2.6433388888888891</v>
      </c>
    </row>
    <row r="5" spans="1:12" x14ac:dyDescent="0.3">
      <c r="C5" s="3"/>
      <c r="H5">
        <v>3</v>
      </c>
      <c r="I5">
        <f t="shared" si="0"/>
        <v>7.5500000000000012E-2</v>
      </c>
      <c r="J5">
        <v>100</v>
      </c>
      <c r="K5">
        <v>57.55</v>
      </c>
      <c r="L5">
        <v>4.0600125</v>
      </c>
    </row>
    <row r="6" spans="1:12" x14ac:dyDescent="0.3">
      <c r="A6" s="3" t="s">
        <v>42</v>
      </c>
      <c r="B6" t="s">
        <v>36</v>
      </c>
      <c r="C6" s="4">
        <v>150</v>
      </c>
      <c r="D6" s="1" t="s">
        <v>3</v>
      </c>
      <c r="H6">
        <v>4</v>
      </c>
      <c r="I6">
        <f t="shared" si="0"/>
        <v>0.10066666666666668</v>
      </c>
      <c r="J6">
        <v>0</v>
      </c>
      <c r="K6">
        <v>60</v>
      </c>
      <c r="L6">
        <v>5.5400000000000009</v>
      </c>
    </row>
    <row r="7" spans="1:12" x14ac:dyDescent="0.3">
      <c r="A7" s="3" t="s">
        <v>10</v>
      </c>
      <c r="B7" t="s">
        <v>37</v>
      </c>
      <c r="C7" s="19">
        <f>time3</f>
        <v>2.5166666666666671</v>
      </c>
      <c r="D7" s="1" t="s">
        <v>5</v>
      </c>
      <c r="H7">
        <v>5</v>
      </c>
      <c r="I7">
        <f t="shared" si="0"/>
        <v>0.12583333333333335</v>
      </c>
      <c r="J7">
        <v>0</v>
      </c>
      <c r="K7">
        <v>60</v>
      </c>
      <c r="L7">
        <v>7.0500000000000007</v>
      </c>
    </row>
    <row r="8" spans="1:12" x14ac:dyDescent="0.3">
      <c r="H8">
        <v>6</v>
      </c>
      <c r="I8">
        <f t="shared" si="0"/>
        <v>0.15100000000000002</v>
      </c>
      <c r="J8">
        <v>0</v>
      </c>
      <c r="K8">
        <v>60</v>
      </c>
      <c r="L8">
        <v>8.56</v>
      </c>
    </row>
    <row r="9" spans="1:12" x14ac:dyDescent="0.3">
      <c r="A9" s="3" t="s">
        <v>43</v>
      </c>
      <c r="B9" t="s">
        <v>33</v>
      </c>
      <c r="C9" s="4">
        <v>50</v>
      </c>
      <c r="D9" s="1" t="s">
        <v>2</v>
      </c>
      <c r="H9">
        <v>7</v>
      </c>
      <c r="I9">
        <f t="shared" si="0"/>
        <v>0.17616666666666669</v>
      </c>
      <c r="J9">
        <v>0</v>
      </c>
      <c r="K9">
        <v>60</v>
      </c>
      <c r="L9">
        <v>10.07</v>
      </c>
    </row>
    <row r="10" spans="1:12" x14ac:dyDescent="0.3">
      <c r="A10" s="3" t="s">
        <v>44</v>
      </c>
      <c r="B10" t="s">
        <v>34</v>
      </c>
      <c r="C10" s="4">
        <v>50</v>
      </c>
      <c r="D10" s="1" t="s">
        <v>2</v>
      </c>
      <c r="H10">
        <v>8</v>
      </c>
      <c r="I10">
        <f t="shared" si="0"/>
        <v>0.20133333333333336</v>
      </c>
      <c r="J10">
        <v>0</v>
      </c>
      <c r="K10">
        <v>60</v>
      </c>
      <c r="L10">
        <v>11.580000000000002</v>
      </c>
    </row>
    <row r="11" spans="1:12" x14ac:dyDescent="0.3">
      <c r="A11" s="3" t="s">
        <v>27</v>
      </c>
      <c r="B11" t="s">
        <v>35</v>
      </c>
      <c r="C11" t="s">
        <v>28</v>
      </c>
      <c r="H11">
        <v>9</v>
      </c>
      <c r="I11">
        <f t="shared" si="0"/>
        <v>0.22650000000000003</v>
      </c>
      <c r="J11">
        <v>0</v>
      </c>
      <c r="K11">
        <v>60</v>
      </c>
      <c r="L11">
        <v>13.090000000000002</v>
      </c>
    </row>
    <row r="12" spans="1:12" x14ac:dyDescent="0.3">
      <c r="B12" s="8"/>
      <c r="C12" s="8" t="s">
        <v>7</v>
      </c>
      <c r="D12" s="8" t="s">
        <v>8</v>
      </c>
      <c r="E12" s="8" t="s">
        <v>5</v>
      </c>
      <c r="F12" s="8" t="s">
        <v>9</v>
      </c>
      <c r="G12" s="8"/>
      <c r="H12">
        <v>10</v>
      </c>
      <c r="I12">
        <f t="shared" si="0"/>
        <v>0.25166666666666671</v>
      </c>
      <c r="J12">
        <v>0</v>
      </c>
      <c r="K12">
        <v>60</v>
      </c>
      <c r="L12">
        <v>14.600000000000001</v>
      </c>
    </row>
    <row r="13" spans="1:12" x14ac:dyDescent="0.3">
      <c r="B13" s="12"/>
      <c r="C13" s="12" t="s">
        <v>1</v>
      </c>
      <c r="D13" s="12" t="s">
        <v>2</v>
      </c>
      <c r="E13" s="12" t="s">
        <v>3</v>
      </c>
      <c r="F13" s="12" t="s">
        <v>5</v>
      </c>
      <c r="G13" s="15"/>
      <c r="H13">
        <v>11</v>
      </c>
      <c r="I13">
        <f t="shared" si="0"/>
        <v>0.27683333333333338</v>
      </c>
      <c r="J13">
        <v>0</v>
      </c>
      <c r="K13">
        <v>60</v>
      </c>
      <c r="L13">
        <v>16.110000000000003</v>
      </c>
    </row>
    <row r="14" spans="1:12" x14ac:dyDescent="0.3">
      <c r="A14" s="5" t="s">
        <v>12</v>
      </c>
      <c r="B14" s="5"/>
      <c r="C14" s="5">
        <v>0</v>
      </c>
      <c r="D14" s="5">
        <v>50</v>
      </c>
      <c r="E14" s="5">
        <v>0</v>
      </c>
      <c r="F14" s="5">
        <v>0</v>
      </c>
      <c r="H14">
        <v>12</v>
      </c>
      <c r="I14">
        <f t="shared" si="0"/>
        <v>0.30200000000000005</v>
      </c>
      <c r="J14">
        <v>0</v>
      </c>
      <c r="K14">
        <v>60</v>
      </c>
      <c r="L14">
        <v>17.620000000000005</v>
      </c>
    </row>
    <row r="15" spans="1:12" x14ac:dyDescent="0.3">
      <c r="A15" s="6" t="s">
        <v>13</v>
      </c>
      <c r="B15" s="6"/>
      <c r="C15" s="6">
        <v>100</v>
      </c>
      <c r="D15" s="6">
        <v>10</v>
      </c>
      <c r="E15" s="6">
        <v>5.5</v>
      </c>
      <c r="F15" s="6">
        <v>0.1</v>
      </c>
      <c r="H15">
        <v>13</v>
      </c>
      <c r="I15">
        <f t="shared" si="0"/>
        <v>0.32716666666666666</v>
      </c>
      <c r="J15">
        <v>0</v>
      </c>
      <c r="K15">
        <v>60</v>
      </c>
      <c r="L15">
        <v>19.13</v>
      </c>
    </row>
    <row r="16" spans="1:12" x14ac:dyDescent="0.3">
      <c r="A16" s="7" t="s">
        <v>14</v>
      </c>
      <c r="B16" s="7"/>
      <c r="C16" s="7">
        <v>0</v>
      </c>
      <c r="D16" s="7">
        <v>60</v>
      </c>
      <c r="E16" s="7">
        <v>5.5</v>
      </c>
      <c r="F16" s="7">
        <v>0.1</v>
      </c>
      <c r="H16">
        <v>14</v>
      </c>
      <c r="I16">
        <f t="shared" si="0"/>
        <v>0.35233333333333339</v>
      </c>
      <c r="J16">
        <v>0</v>
      </c>
      <c r="K16">
        <v>60</v>
      </c>
      <c r="L16">
        <v>20.640000000000004</v>
      </c>
    </row>
    <row r="17" spans="1:12" x14ac:dyDescent="0.3">
      <c r="A17" s="6" t="s">
        <v>15</v>
      </c>
      <c r="B17" s="6"/>
      <c r="C17" s="6">
        <v>0</v>
      </c>
      <c r="D17" s="6">
        <v>0</v>
      </c>
      <c r="E17" s="6">
        <v>139</v>
      </c>
      <c r="F17" s="6">
        <v>2.3166666666666669</v>
      </c>
      <c r="H17">
        <v>15</v>
      </c>
      <c r="I17">
        <f t="shared" si="0"/>
        <v>0.37750000000000006</v>
      </c>
      <c r="J17">
        <v>0</v>
      </c>
      <c r="K17">
        <v>60</v>
      </c>
      <c r="L17">
        <v>22.150000000000006</v>
      </c>
    </row>
    <row r="18" spans="1:12" x14ac:dyDescent="0.3">
      <c r="A18" s="7" t="s">
        <v>16</v>
      </c>
      <c r="B18" s="7"/>
      <c r="C18" s="7">
        <v>0</v>
      </c>
      <c r="D18" s="7">
        <v>60</v>
      </c>
      <c r="E18" s="7">
        <v>144.5</v>
      </c>
      <c r="F18" s="7">
        <v>2.416666666666667</v>
      </c>
      <c r="H18">
        <v>16</v>
      </c>
      <c r="I18">
        <f t="shared" si="0"/>
        <v>0.40266666666666673</v>
      </c>
      <c r="J18">
        <v>0</v>
      </c>
      <c r="K18">
        <v>60</v>
      </c>
      <c r="L18">
        <v>23.660000000000004</v>
      </c>
    </row>
    <row r="19" spans="1:12" x14ac:dyDescent="0.3">
      <c r="A19" s="6" t="s">
        <v>17</v>
      </c>
      <c r="B19" s="6"/>
      <c r="C19" s="6">
        <v>-100</v>
      </c>
      <c r="D19" s="6">
        <v>-10</v>
      </c>
      <c r="E19" s="6">
        <v>5.5</v>
      </c>
      <c r="F19" s="6">
        <v>0.1</v>
      </c>
      <c r="H19">
        <v>17</v>
      </c>
      <c r="I19">
        <f t="shared" si="0"/>
        <v>0.4278333333333334</v>
      </c>
      <c r="J19">
        <v>0</v>
      </c>
      <c r="K19">
        <v>60</v>
      </c>
      <c r="L19">
        <v>25.170000000000005</v>
      </c>
    </row>
    <row r="20" spans="1:12" x14ac:dyDescent="0.3">
      <c r="A20" s="5" t="s">
        <v>18</v>
      </c>
      <c r="B20" s="5"/>
      <c r="C20" s="5">
        <v>0</v>
      </c>
      <c r="D20" s="5">
        <v>50</v>
      </c>
      <c r="E20" s="5">
        <v>150</v>
      </c>
      <c r="F20" s="5">
        <v>2.5166666666666671</v>
      </c>
      <c r="H20">
        <v>18</v>
      </c>
      <c r="I20">
        <f t="shared" si="0"/>
        <v>0.45300000000000007</v>
      </c>
      <c r="J20">
        <v>0</v>
      </c>
      <c r="K20">
        <v>60</v>
      </c>
      <c r="L20">
        <v>26.680000000000007</v>
      </c>
    </row>
    <row r="21" spans="1:12" x14ac:dyDescent="0.3">
      <c r="A21" s="16"/>
      <c r="D21"/>
      <c r="H21">
        <v>19</v>
      </c>
      <c r="I21">
        <f t="shared" si="0"/>
        <v>0.4781666666666668</v>
      </c>
      <c r="J21">
        <v>0</v>
      </c>
      <c r="K21">
        <v>60</v>
      </c>
      <c r="L21">
        <v>28.190000000000005</v>
      </c>
    </row>
    <row r="22" spans="1:12" x14ac:dyDescent="0.3">
      <c r="A22" s="16"/>
      <c r="D22"/>
      <c r="H22">
        <v>20</v>
      </c>
      <c r="I22">
        <f t="shared" si="0"/>
        <v>0.50333333333333341</v>
      </c>
      <c r="J22">
        <v>0</v>
      </c>
      <c r="K22">
        <v>60</v>
      </c>
      <c r="L22">
        <v>29.700000000000006</v>
      </c>
    </row>
    <row r="23" spans="1:12" x14ac:dyDescent="0.3">
      <c r="A23" s="16"/>
      <c r="D23"/>
      <c r="H23">
        <v>21</v>
      </c>
      <c r="I23">
        <f t="shared" si="0"/>
        <v>0.52850000000000008</v>
      </c>
      <c r="J23">
        <v>0</v>
      </c>
      <c r="K23">
        <v>60</v>
      </c>
      <c r="L23">
        <v>31.210000000000008</v>
      </c>
    </row>
    <row r="24" spans="1:12" x14ac:dyDescent="0.3">
      <c r="A24" s="16"/>
      <c r="D24"/>
      <c r="H24">
        <v>22</v>
      </c>
      <c r="I24">
        <f t="shared" si="0"/>
        <v>0.55366666666666675</v>
      </c>
      <c r="J24">
        <v>0</v>
      </c>
      <c r="K24">
        <v>60</v>
      </c>
      <c r="L24">
        <v>32.720000000000006</v>
      </c>
    </row>
    <row r="25" spans="1:12" x14ac:dyDescent="0.3">
      <c r="A25" s="16"/>
      <c r="D25"/>
      <c r="H25">
        <v>23</v>
      </c>
      <c r="I25">
        <f t="shared" si="0"/>
        <v>0.57883333333333342</v>
      </c>
      <c r="J25">
        <v>0</v>
      </c>
      <c r="K25">
        <v>60</v>
      </c>
      <c r="L25">
        <v>34.230000000000004</v>
      </c>
    </row>
    <row r="26" spans="1:12" x14ac:dyDescent="0.3">
      <c r="A26" s="16"/>
      <c r="D26"/>
      <c r="H26">
        <v>24</v>
      </c>
      <c r="I26">
        <f t="shared" si="0"/>
        <v>0.60400000000000009</v>
      </c>
      <c r="J26">
        <v>0</v>
      </c>
      <c r="K26">
        <v>60</v>
      </c>
      <c r="L26">
        <v>35.740000000000009</v>
      </c>
    </row>
    <row r="27" spans="1:12" x14ac:dyDescent="0.3">
      <c r="A27" s="9"/>
      <c r="B27" s="9"/>
      <c r="C27" s="9"/>
      <c r="D27" s="9"/>
      <c r="E27" s="9"/>
      <c r="F27" s="9"/>
      <c r="H27">
        <v>25</v>
      </c>
      <c r="I27">
        <f t="shared" si="0"/>
        <v>0.62916666666666676</v>
      </c>
      <c r="J27">
        <v>0</v>
      </c>
      <c r="K27">
        <v>60</v>
      </c>
      <c r="L27">
        <v>37.250000000000007</v>
      </c>
    </row>
    <row r="28" spans="1:12" x14ac:dyDescent="0.3">
      <c r="A28" s="17"/>
      <c r="B28" s="9"/>
      <c r="C28" s="9"/>
      <c r="D28" s="9"/>
      <c r="E28" s="9"/>
      <c r="F28" s="9"/>
      <c r="H28">
        <v>26</v>
      </c>
      <c r="I28">
        <f t="shared" si="0"/>
        <v>0.65433333333333332</v>
      </c>
      <c r="J28">
        <v>0</v>
      </c>
      <c r="K28">
        <v>60</v>
      </c>
      <c r="L28">
        <v>38.76</v>
      </c>
    </row>
    <row r="29" spans="1:12" x14ac:dyDescent="0.3">
      <c r="A29" s="9"/>
      <c r="B29" s="9"/>
      <c r="C29" s="9"/>
      <c r="D29" s="9"/>
      <c r="E29" s="9"/>
      <c r="F29" s="9"/>
      <c r="H29">
        <v>27</v>
      </c>
      <c r="I29">
        <f t="shared" si="0"/>
        <v>0.67950000000000021</v>
      </c>
      <c r="J29">
        <v>0</v>
      </c>
      <c r="K29">
        <v>60</v>
      </c>
      <c r="L29">
        <v>40.270000000000017</v>
      </c>
    </row>
    <row r="30" spans="1:12" x14ac:dyDescent="0.3">
      <c r="A30" s="13"/>
      <c r="B30" s="13"/>
      <c r="C30" s="13"/>
      <c r="D30" s="13"/>
      <c r="E30" s="9"/>
      <c r="F30" s="9"/>
      <c r="H30">
        <v>28</v>
      </c>
      <c r="I30">
        <f t="shared" si="0"/>
        <v>0.70466666666666677</v>
      </c>
      <c r="J30">
        <v>0</v>
      </c>
      <c r="K30">
        <v>60</v>
      </c>
      <c r="L30">
        <v>41.780000000000008</v>
      </c>
    </row>
    <row r="31" spans="1:12" x14ac:dyDescent="0.3">
      <c r="A31" s="18"/>
      <c r="B31" s="18"/>
      <c r="C31" s="18"/>
      <c r="D31" s="18"/>
      <c r="E31" s="9"/>
      <c r="F31" s="9"/>
      <c r="H31">
        <v>29</v>
      </c>
      <c r="I31">
        <f t="shared" si="0"/>
        <v>0.72983333333333344</v>
      </c>
      <c r="J31">
        <v>0</v>
      </c>
      <c r="K31">
        <v>60</v>
      </c>
      <c r="L31">
        <v>43.290000000000006</v>
      </c>
    </row>
    <row r="32" spans="1:12" x14ac:dyDescent="0.3">
      <c r="A32" s="14"/>
      <c r="B32" s="14"/>
      <c r="C32" s="14"/>
      <c r="D32" s="14"/>
      <c r="E32" s="9"/>
      <c r="F32" s="9"/>
      <c r="H32">
        <v>30</v>
      </c>
      <c r="I32">
        <f t="shared" si="0"/>
        <v>0.75500000000000012</v>
      </c>
      <c r="J32">
        <v>0</v>
      </c>
      <c r="K32">
        <v>60</v>
      </c>
      <c r="L32">
        <v>44.800000000000011</v>
      </c>
    </row>
    <row r="33" spans="1:12" x14ac:dyDescent="0.3">
      <c r="A33" s="25"/>
      <c r="B33" s="25"/>
      <c r="C33" s="25"/>
      <c r="D33" s="25"/>
      <c r="E33" s="9"/>
      <c r="F33" s="9"/>
      <c r="H33">
        <v>31</v>
      </c>
      <c r="I33">
        <f t="shared" si="0"/>
        <v>0.78016666666666679</v>
      </c>
      <c r="J33">
        <v>0</v>
      </c>
      <c r="K33">
        <v>60</v>
      </c>
      <c r="L33">
        <v>46.310000000000009</v>
      </c>
    </row>
    <row r="34" spans="1:12" x14ac:dyDescent="0.3">
      <c r="A34" s="9"/>
      <c r="B34" s="9"/>
      <c r="C34" s="9"/>
      <c r="D34" s="10"/>
      <c r="H34">
        <v>32</v>
      </c>
      <c r="I34">
        <f t="shared" si="0"/>
        <v>0.80533333333333346</v>
      </c>
      <c r="J34">
        <v>0</v>
      </c>
      <c r="K34">
        <v>60</v>
      </c>
      <c r="L34">
        <v>47.820000000000007</v>
      </c>
    </row>
    <row r="35" spans="1:12" x14ac:dyDescent="0.3">
      <c r="A35" s="9"/>
      <c r="B35" s="9"/>
      <c r="C35" s="9"/>
      <c r="D35" s="10"/>
      <c r="H35">
        <v>33</v>
      </c>
      <c r="I35">
        <f t="shared" si="0"/>
        <v>0.83050000000000013</v>
      </c>
      <c r="J35">
        <v>0</v>
      </c>
      <c r="K35">
        <v>60</v>
      </c>
      <c r="L35">
        <v>49.330000000000013</v>
      </c>
    </row>
    <row r="36" spans="1:12" x14ac:dyDescent="0.3">
      <c r="A36" s="9"/>
      <c r="B36" s="11"/>
      <c r="C36" s="9"/>
      <c r="D36" s="10"/>
      <c r="H36">
        <v>34</v>
      </c>
      <c r="I36">
        <f t="shared" si="0"/>
        <v>0.8556666666666668</v>
      </c>
      <c r="J36">
        <v>0</v>
      </c>
      <c r="K36">
        <v>60</v>
      </c>
      <c r="L36">
        <v>50.840000000000011</v>
      </c>
    </row>
    <row r="37" spans="1:12" x14ac:dyDescent="0.3">
      <c r="A37" s="9"/>
      <c r="B37" s="9"/>
      <c r="C37" s="9"/>
      <c r="D37" s="10"/>
      <c r="H37">
        <v>35</v>
      </c>
      <c r="I37">
        <f t="shared" si="0"/>
        <v>0.88083333333333347</v>
      </c>
      <c r="J37">
        <v>0</v>
      </c>
      <c r="K37">
        <v>60</v>
      </c>
      <c r="L37">
        <v>52.350000000000009</v>
      </c>
    </row>
    <row r="38" spans="1:12" x14ac:dyDescent="0.3">
      <c r="A38" s="9"/>
      <c r="B38" s="9"/>
      <c r="C38" s="9"/>
      <c r="D38" s="10"/>
      <c r="H38">
        <v>36</v>
      </c>
      <c r="I38">
        <f t="shared" si="0"/>
        <v>0.90600000000000014</v>
      </c>
      <c r="J38">
        <v>0</v>
      </c>
      <c r="K38">
        <v>60</v>
      </c>
      <c r="L38">
        <v>53.860000000000007</v>
      </c>
    </row>
    <row r="39" spans="1:12" x14ac:dyDescent="0.3">
      <c r="A39" s="25"/>
      <c r="B39" s="25"/>
      <c r="C39" s="25"/>
      <c r="D39" s="25"/>
      <c r="H39">
        <v>37</v>
      </c>
      <c r="I39">
        <f t="shared" si="0"/>
        <v>0.9311666666666667</v>
      </c>
      <c r="J39">
        <v>0</v>
      </c>
      <c r="K39">
        <v>60</v>
      </c>
      <c r="L39">
        <v>55.370000000000005</v>
      </c>
    </row>
    <row r="40" spans="1:12" x14ac:dyDescent="0.3">
      <c r="A40" s="9"/>
      <c r="B40" s="9"/>
      <c r="C40" s="9"/>
      <c r="D40" s="10"/>
      <c r="H40">
        <v>38</v>
      </c>
      <c r="I40">
        <f t="shared" si="0"/>
        <v>0.95633333333333359</v>
      </c>
      <c r="J40">
        <v>0</v>
      </c>
      <c r="K40">
        <v>60</v>
      </c>
      <c r="L40">
        <v>56.880000000000017</v>
      </c>
    </row>
    <row r="41" spans="1:12" x14ac:dyDescent="0.3">
      <c r="A41" s="9"/>
      <c r="B41" s="9"/>
      <c r="C41" s="9"/>
      <c r="D41" s="10"/>
      <c r="H41">
        <v>39</v>
      </c>
      <c r="I41">
        <f t="shared" si="0"/>
        <v>0.98150000000000015</v>
      </c>
      <c r="J41">
        <v>0</v>
      </c>
      <c r="K41">
        <v>60</v>
      </c>
      <c r="L41">
        <v>58.390000000000008</v>
      </c>
    </row>
    <row r="42" spans="1:12" x14ac:dyDescent="0.3">
      <c r="A42" s="9"/>
      <c r="B42" s="11"/>
      <c r="C42" s="9"/>
      <c r="D42" s="10"/>
      <c r="H42">
        <v>40</v>
      </c>
      <c r="I42">
        <f t="shared" si="0"/>
        <v>1.0066666666666668</v>
      </c>
      <c r="J42">
        <v>0</v>
      </c>
      <c r="K42">
        <v>60</v>
      </c>
      <c r="L42">
        <v>59.900000000000013</v>
      </c>
    </row>
    <row r="43" spans="1:12" x14ac:dyDescent="0.3">
      <c r="A43" s="9"/>
      <c r="B43" s="9"/>
      <c r="C43" s="9"/>
      <c r="D43" s="10"/>
      <c r="H43">
        <v>41</v>
      </c>
      <c r="I43">
        <f t="shared" si="0"/>
        <v>1.0318333333333336</v>
      </c>
      <c r="J43">
        <v>0</v>
      </c>
      <c r="K43">
        <v>60</v>
      </c>
      <c r="L43">
        <v>61.410000000000018</v>
      </c>
    </row>
    <row r="44" spans="1:12" x14ac:dyDescent="0.3">
      <c r="A44" s="9"/>
      <c r="B44" s="9"/>
      <c r="C44" s="9"/>
      <c r="D44" s="10"/>
      <c r="H44">
        <v>42</v>
      </c>
      <c r="I44">
        <f t="shared" si="0"/>
        <v>1.0570000000000002</v>
      </c>
      <c r="J44">
        <v>0</v>
      </c>
      <c r="K44">
        <v>60</v>
      </c>
      <c r="L44">
        <v>62.920000000000009</v>
      </c>
    </row>
    <row r="45" spans="1:12" x14ac:dyDescent="0.3">
      <c r="A45" s="25"/>
      <c r="B45" s="25"/>
      <c r="C45" s="25"/>
      <c r="D45" s="25"/>
      <c r="H45">
        <v>43</v>
      </c>
      <c r="I45">
        <f t="shared" si="0"/>
        <v>1.0821666666666667</v>
      </c>
      <c r="J45">
        <v>0</v>
      </c>
      <c r="K45">
        <v>60</v>
      </c>
      <c r="L45">
        <v>64.430000000000007</v>
      </c>
    </row>
    <row r="46" spans="1:12" x14ac:dyDescent="0.3">
      <c r="A46" s="9"/>
      <c r="B46" s="9"/>
      <c r="C46" s="9"/>
      <c r="D46" s="10"/>
      <c r="H46">
        <v>44</v>
      </c>
      <c r="I46">
        <f t="shared" si="0"/>
        <v>1.1073333333333335</v>
      </c>
      <c r="J46">
        <v>0</v>
      </c>
      <c r="K46">
        <v>60</v>
      </c>
      <c r="L46">
        <v>65.94</v>
      </c>
    </row>
    <row r="47" spans="1:12" x14ac:dyDescent="0.3">
      <c r="A47" s="9"/>
      <c r="B47" s="9"/>
      <c r="C47" s="9"/>
      <c r="D47" s="10"/>
      <c r="H47">
        <v>45</v>
      </c>
      <c r="I47">
        <f t="shared" si="0"/>
        <v>1.1325000000000001</v>
      </c>
      <c r="J47">
        <v>0</v>
      </c>
      <c r="K47">
        <v>60</v>
      </c>
      <c r="L47">
        <v>67.449999999999989</v>
      </c>
    </row>
    <row r="48" spans="1:12" x14ac:dyDescent="0.3">
      <c r="A48" s="9"/>
      <c r="B48" s="11"/>
      <c r="C48" s="9"/>
      <c r="D48" s="10"/>
      <c r="H48">
        <v>46</v>
      </c>
      <c r="I48">
        <f t="shared" si="0"/>
        <v>1.1576666666666668</v>
      </c>
      <c r="J48">
        <v>0</v>
      </c>
      <c r="K48">
        <v>60</v>
      </c>
      <c r="L48">
        <v>68.960000000000008</v>
      </c>
    </row>
    <row r="49" spans="1:12" x14ac:dyDescent="0.3">
      <c r="A49" s="9"/>
      <c r="B49" s="9"/>
      <c r="C49" s="9"/>
      <c r="D49" s="10"/>
      <c r="H49">
        <v>47</v>
      </c>
      <c r="I49">
        <f t="shared" si="0"/>
        <v>1.1828333333333334</v>
      </c>
      <c r="J49">
        <v>0</v>
      </c>
      <c r="K49">
        <v>60</v>
      </c>
      <c r="L49">
        <v>70.47</v>
      </c>
    </row>
    <row r="50" spans="1:12" x14ac:dyDescent="0.3">
      <c r="A50" s="9"/>
      <c r="B50" s="9"/>
      <c r="C50" s="9"/>
      <c r="D50" s="10"/>
      <c r="H50">
        <v>48</v>
      </c>
      <c r="I50">
        <f t="shared" si="0"/>
        <v>1.2080000000000002</v>
      </c>
      <c r="J50">
        <v>0</v>
      </c>
      <c r="K50">
        <v>60</v>
      </c>
      <c r="L50">
        <v>71.98</v>
      </c>
    </row>
    <row r="51" spans="1:12" x14ac:dyDescent="0.3">
      <c r="A51" s="25"/>
      <c r="B51" s="25"/>
      <c r="C51" s="25"/>
      <c r="D51" s="25"/>
      <c r="H51">
        <v>49</v>
      </c>
      <c r="I51">
        <f t="shared" si="0"/>
        <v>1.233166666666667</v>
      </c>
      <c r="J51">
        <v>0</v>
      </c>
      <c r="K51">
        <v>60</v>
      </c>
      <c r="L51">
        <v>73.490000000000009</v>
      </c>
    </row>
    <row r="52" spans="1:12" x14ac:dyDescent="0.3">
      <c r="A52" s="9"/>
      <c r="B52" s="9"/>
      <c r="C52" s="9"/>
      <c r="D52" s="10"/>
      <c r="H52">
        <v>50</v>
      </c>
      <c r="I52">
        <f t="shared" si="0"/>
        <v>1.2583333333333335</v>
      </c>
      <c r="J52">
        <v>0</v>
      </c>
      <c r="K52">
        <v>60</v>
      </c>
      <c r="L52">
        <v>75</v>
      </c>
    </row>
    <row r="53" spans="1:12" x14ac:dyDescent="0.3">
      <c r="A53" s="9"/>
      <c r="B53" s="9"/>
      <c r="C53" s="9"/>
      <c r="D53" s="10"/>
      <c r="H53">
        <v>51</v>
      </c>
      <c r="I53">
        <f t="shared" si="0"/>
        <v>1.2835000000000003</v>
      </c>
      <c r="J53">
        <v>0</v>
      </c>
      <c r="K53">
        <v>60</v>
      </c>
      <c r="L53">
        <v>76.510000000000019</v>
      </c>
    </row>
    <row r="54" spans="1:12" x14ac:dyDescent="0.3">
      <c r="A54" s="9"/>
      <c r="B54" s="11"/>
      <c r="C54" s="9"/>
      <c r="D54" s="10"/>
      <c r="H54">
        <v>52</v>
      </c>
      <c r="I54">
        <f t="shared" si="0"/>
        <v>1.3086666666666666</v>
      </c>
      <c r="J54">
        <v>0</v>
      </c>
      <c r="K54">
        <v>60</v>
      </c>
      <c r="L54">
        <v>78.02</v>
      </c>
    </row>
    <row r="55" spans="1:12" x14ac:dyDescent="0.3">
      <c r="A55" s="9"/>
      <c r="B55" s="9"/>
      <c r="C55" s="9"/>
      <c r="D55" s="10"/>
      <c r="H55">
        <v>53</v>
      </c>
      <c r="I55">
        <f t="shared" si="0"/>
        <v>1.3338333333333336</v>
      </c>
      <c r="J55">
        <v>0</v>
      </c>
      <c r="K55">
        <v>60</v>
      </c>
      <c r="L55">
        <v>79.530000000000015</v>
      </c>
    </row>
    <row r="56" spans="1:12" x14ac:dyDescent="0.3">
      <c r="A56" s="9"/>
      <c r="B56" s="9"/>
      <c r="C56" s="9"/>
      <c r="D56" s="10"/>
      <c r="H56">
        <v>54</v>
      </c>
      <c r="I56">
        <f t="shared" si="0"/>
        <v>1.3590000000000004</v>
      </c>
      <c r="J56">
        <v>0</v>
      </c>
      <c r="K56">
        <v>60</v>
      </c>
      <c r="L56">
        <v>81.04000000000002</v>
      </c>
    </row>
    <row r="57" spans="1:12" x14ac:dyDescent="0.3">
      <c r="A57" s="9"/>
      <c r="B57" s="9"/>
      <c r="C57" s="9"/>
      <c r="D57" s="10"/>
      <c r="H57">
        <v>55</v>
      </c>
      <c r="I57">
        <f t="shared" si="0"/>
        <v>1.3841666666666668</v>
      </c>
      <c r="J57">
        <v>0</v>
      </c>
      <c r="K57">
        <v>60</v>
      </c>
      <c r="L57">
        <v>82.55</v>
      </c>
    </row>
    <row r="58" spans="1:12" x14ac:dyDescent="0.3">
      <c r="A58" s="9"/>
      <c r="B58" s="9"/>
      <c r="C58" s="9"/>
      <c r="D58" s="10"/>
      <c r="H58">
        <v>56</v>
      </c>
      <c r="I58">
        <f t="shared" si="0"/>
        <v>1.4093333333333335</v>
      </c>
      <c r="J58">
        <v>0</v>
      </c>
      <c r="K58">
        <v>60</v>
      </c>
      <c r="L58">
        <v>84.06</v>
      </c>
    </row>
    <row r="59" spans="1:12" x14ac:dyDescent="0.3">
      <c r="A59" s="9"/>
      <c r="B59" s="9"/>
      <c r="C59" s="9"/>
      <c r="D59" s="10"/>
      <c r="H59">
        <v>57</v>
      </c>
      <c r="I59">
        <f t="shared" si="0"/>
        <v>1.4345000000000001</v>
      </c>
      <c r="J59">
        <v>0</v>
      </c>
      <c r="K59">
        <v>60</v>
      </c>
      <c r="L59">
        <v>85.570000000000007</v>
      </c>
    </row>
    <row r="60" spans="1:12" x14ac:dyDescent="0.3">
      <c r="A60" s="9"/>
      <c r="B60" s="9"/>
      <c r="C60" s="9"/>
      <c r="D60" s="10"/>
      <c r="H60">
        <v>58</v>
      </c>
      <c r="I60">
        <f t="shared" si="0"/>
        <v>1.4596666666666669</v>
      </c>
      <c r="J60">
        <v>0</v>
      </c>
      <c r="K60">
        <v>60</v>
      </c>
      <c r="L60">
        <v>87.080000000000013</v>
      </c>
    </row>
    <row r="61" spans="1:12" x14ac:dyDescent="0.3">
      <c r="A61" s="9"/>
      <c r="B61" s="9"/>
      <c r="C61" s="9"/>
      <c r="D61" s="10"/>
      <c r="H61">
        <v>59</v>
      </c>
      <c r="I61">
        <f t="shared" si="0"/>
        <v>1.4848333333333334</v>
      </c>
      <c r="J61">
        <v>0</v>
      </c>
      <c r="K61">
        <v>60</v>
      </c>
      <c r="L61">
        <v>88.59</v>
      </c>
    </row>
    <row r="62" spans="1:12" x14ac:dyDescent="0.3">
      <c r="A62" s="9"/>
      <c r="B62" s="9"/>
      <c r="C62" s="9"/>
      <c r="D62" s="10"/>
      <c r="H62">
        <v>60</v>
      </c>
      <c r="I62">
        <f t="shared" si="0"/>
        <v>1.5100000000000002</v>
      </c>
      <c r="J62">
        <v>0</v>
      </c>
      <c r="K62">
        <v>60</v>
      </c>
      <c r="L62">
        <v>90.100000000000009</v>
      </c>
    </row>
    <row r="63" spans="1:12" x14ac:dyDescent="0.3">
      <c r="H63">
        <v>61</v>
      </c>
      <c r="I63">
        <f t="shared" si="0"/>
        <v>1.5351666666666668</v>
      </c>
      <c r="J63">
        <v>0</v>
      </c>
      <c r="K63">
        <v>60</v>
      </c>
      <c r="L63">
        <v>91.61</v>
      </c>
    </row>
    <row r="64" spans="1:12" x14ac:dyDescent="0.3">
      <c r="H64">
        <v>62</v>
      </c>
      <c r="I64">
        <f t="shared" si="0"/>
        <v>1.5603333333333336</v>
      </c>
      <c r="J64">
        <v>0</v>
      </c>
      <c r="K64">
        <v>60</v>
      </c>
      <c r="L64">
        <v>93.12</v>
      </c>
    </row>
    <row r="65" spans="8:12" x14ac:dyDescent="0.3">
      <c r="H65">
        <v>63</v>
      </c>
      <c r="I65">
        <f t="shared" si="0"/>
        <v>1.5855000000000001</v>
      </c>
      <c r="J65">
        <v>0</v>
      </c>
      <c r="K65">
        <v>60</v>
      </c>
      <c r="L65">
        <v>94.63</v>
      </c>
    </row>
    <row r="66" spans="8:12" x14ac:dyDescent="0.3">
      <c r="H66">
        <v>64</v>
      </c>
      <c r="I66">
        <f t="shared" si="0"/>
        <v>1.6106666666666669</v>
      </c>
      <c r="J66">
        <v>0</v>
      </c>
      <c r="K66">
        <v>60</v>
      </c>
      <c r="L66">
        <v>96.140000000000015</v>
      </c>
    </row>
    <row r="67" spans="8:12" x14ac:dyDescent="0.3">
      <c r="H67">
        <v>65</v>
      </c>
      <c r="I67">
        <f t="shared" ref="I67:I102" si="1">H67*$C$7/100</f>
        <v>1.6358333333333337</v>
      </c>
      <c r="J67">
        <v>0</v>
      </c>
      <c r="K67">
        <v>60</v>
      </c>
      <c r="L67">
        <v>97.65000000000002</v>
      </c>
    </row>
    <row r="68" spans="8:12" x14ac:dyDescent="0.3">
      <c r="H68">
        <v>66</v>
      </c>
      <c r="I68">
        <f t="shared" si="1"/>
        <v>1.6610000000000003</v>
      </c>
      <c r="J68">
        <v>0</v>
      </c>
      <c r="K68">
        <v>60</v>
      </c>
      <c r="L68">
        <v>99.160000000000011</v>
      </c>
    </row>
    <row r="69" spans="8:12" x14ac:dyDescent="0.3">
      <c r="H69">
        <v>67</v>
      </c>
      <c r="I69">
        <f t="shared" si="1"/>
        <v>1.686166666666667</v>
      </c>
      <c r="J69">
        <v>0</v>
      </c>
      <c r="K69">
        <v>60</v>
      </c>
      <c r="L69">
        <v>100.67000000000002</v>
      </c>
    </row>
    <row r="70" spans="8:12" x14ac:dyDescent="0.3">
      <c r="H70">
        <v>68</v>
      </c>
      <c r="I70">
        <f t="shared" si="1"/>
        <v>1.7113333333333336</v>
      </c>
      <c r="J70">
        <v>0</v>
      </c>
      <c r="K70">
        <v>60</v>
      </c>
      <c r="L70">
        <v>102.18</v>
      </c>
    </row>
    <row r="71" spans="8:12" x14ac:dyDescent="0.3">
      <c r="H71">
        <v>69</v>
      </c>
      <c r="I71">
        <f t="shared" si="1"/>
        <v>1.7365000000000004</v>
      </c>
      <c r="J71">
        <v>0</v>
      </c>
      <c r="K71">
        <v>60</v>
      </c>
      <c r="L71">
        <v>103.69000000000001</v>
      </c>
    </row>
    <row r="72" spans="8:12" x14ac:dyDescent="0.3">
      <c r="H72">
        <v>70</v>
      </c>
      <c r="I72">
        <f t="shared" si="1"/>
        <v>1.7616666666666669</v>
      </c>
      <c r="J72">
        <v>0</v>
      </c>
      <c r="K72">
        <v>60</v>
      </c>
      <c r="L72">
        <v>105.20000000000002</v>
      </c>
    </row>
    <row r="73" spans="8:12" x14ac:dyDescent="0.3">
      <c r="H73">
        <v>71</v>
      </c>
      <c r="I73">
        <f t="shared" si="1"/>
        <v>1.7868333333333337</v>
      </c>
      <c r="J73">
        <v>0</v>
      </c>
      <c r="K73">
        <v>60</v>
      </c>
      <c r="L73">
        <v>106.71000000000002</v>
      </c>
    </row>
    <row r="74" spans="8:12" x14ac:dyDescent="0.3">
      <c r="H74">
        <v>72</v>
      </c>
      <c r="I74">
        <f t="shared" si="1"/>
        <v>1.8120000000000003</v>
      </c>
      <c r="J74">
        <v>0</v>
      </c>
      <c r="K74">
        <v>60</v>
      </c>
      <c r="L74">
        <v>108.22000000000001</v>
      </c>
    </row>
    <row r="75" spans="8:12" x14ac:dyDescent="0.3">
      <c r="H75">
        <v>73</v>
      </c>
      <c r="I75">
        <f t="shared" si="1"/>
        <v>1.8371666666666671</v>
      </c>
      <c r="J75">
        <v>0</v>
      </c>
      <c r="K75">
        <v>60</v>
      </c>
      <c r="L75">
        <v>109.73000000000002</v>
      </c>
    </row>
    <row r="76" spans="8:12" x14ac:dyDescent="0.3">
      <c r="H76">
        <v>74</v>
      </c>
      <c r="I76">
        <f t="shared" si="1"/>
        <v>1.8623333333333334</v>
      </c>
      <c r="J76">
        <v>0</v>
      </c>
      <c r="K76">
        <v>60</v>
      </c>
      <c r="L76">
        <v>111.24</v>
      </c>
    </row>
    <row r="77" spans="8:12" x14ac:dyDescent="0.3">
      <c r="H77">
        <v>75</v>
      </c>
      <c r="I77">
        <f t="shared" si="1"/>
        <v>1.8875000000000002</v>
      </c>
      <c r="J77">
        <v>0</v>
      </c>
      <c r="K77">
        <v>60</v>
      </c>
      <c r="L77">
        <v>112.75</v>
      </c>
    </row>
    <row r="78" spans="8:12" x14ac:dyDescent="0.3">
      <c r="H78">
        <v>76</v>
      </c>
      <c r="I78">
        <f t="shared" si="1"/>
        <v>1.9126666666666672</v>
      </c>
      <c r="J78">
        <v>0</v>
      </c>
      <c r="K78">
        <v>60</v>
      </c>
      <c r="L78">
        <v>114.26000000000002</v>
      </c>
    </row>
    <row r="79" spans="8:12" x14ac:dyDescent="0.3">
      <c r="H79">
        <v>77</v>
      </c>
      <c r="I79">
        <f t="shared" si="1"/>
        <v>1.9378333333333335</v>
      </c>
      <c r="J79">
        <v>0</v>
      </c>
      <c r="K79">
        <v>60</v>
      </c>
      <c r="L79">
        <v>115.77000000000001</v>
      </c>
    </row>
    <row r="80" spans="8:12" x14ac:dyDescent="0.3">
      <c r="H80">
        <v>78</v>
      </c>
      <c r="I80">
        <f t="shared" si="1"/>
        <v>1.9630000000000003</v>
      </c>
      <c r="J80">
        <v>0</v>
      </c>
      <c r="K80">
        <v>60</v>
      </c>
      <c r="L80">
        <v>117.28000000000002</v>
      </c>
    </row>
    <row r="81" spans="8:12" x14ac:dyDescent="0.3">
      <c r="H81">
        <v>79</v>
      </c>
      <c r="I81">
        <f t="shared" si="1"/>
        <v>1.9881666666666669</v>
      </c>
      <c r="J81">
        <v>0</v>
      </c>
      <c r="K81">
        <v>60</v>
      </c>
      <c r="L81">
        <v>118.79</v>
      </c>
    </row>
    <row r="82" spans="8:12" x14ac:dyDescent="0.3">
      <c r="H82">
        <v>80</v>
      </c>
      <c r="I82">
        <f t="shared" si="1"/>
        <v>2.0133333333333336</v>
      </c>
      <c r="J82">
        <v>0</v>
      </c>
      <c r="K82">
        <v>60</v>
      </c>
      <c r="L82">
        <v>120.30000000000001</v>
      </c>
    </row>
    <row r="83" spans="8:12" x14ac:dyDescent="0.3">
      <c r="H83">
        <v>81</v>
      </c>
      <c r="I83">
        <f t="shared" si="1"/>
        <v>2.0385000000000004</v>
      </c>
      <c r="J83">
        <v>0</v>
      </c>
      <c r="K83">
        <v>60</v>
      </c>
      <c r="L83">
        <v>121.81000000000002</v>
      </c>
    </row>
    <row r="84" spans="8:12" x14ac:dyDescent="0.3">
      <c r="H84">
        <v>82</v>
      </c>
      <c r="I84">
        <f t="shared" si="1"/>
        <v>2.0636666666666672</v>
      </c>
      <c r="J84">
        <v>0</v>
      </c>
      <c r="K84">
        <v>60</v>
      </c>
      <c r="L84">
        <v>123.32000000000002</v>
      </c>
    </row>
    <row r="85" spans="8:12" x14ac:dyDescent="0.3">
      <c r="H85">
        <v>83</v>
      </c>
      <c r="I85">
        <f t="shared" si="1"/>
        <v>2.0888333333333335</v>
      </c>
      <c r="J85">
        <v>0</v>
      </c>
      <c r="K85">
        <v>60</v>
      </c>
      <c r="L85">
        <v>124.83000000000001</v>
      </c>
    </row>
    <row r="86" spans="8:12" x14ac:dyDescent="0.3">
      <c r="H86">
        <v>84</v>
      </c>
      <c r="I86">
        <f t="shared" si="1"/>
        <v>2.1140000000000003</v>
      </c>
      <c r="J86">
        <v>0</v>
      </c>
      <c r="K86">
        <v>60</v>
      </c>
      <c r="L86">
        <v>126.34000000000002</v>
      </c>
    </row>
    <row r="87" spans="8:12" x14ac:dyDescent="0.3">
      <c r="H87">
        <v>85</v>
      </c>
      <c r="I87">
        <f t="shared" si="1"/>
        <v>2.1391666666666667</v>
      </c>
      <c r="J87">
        <v>0</v>
      </c>
      <c r="K87">
        <v>60</v>
      </c>
      <c r="L87">
        <v>127.85</v>
      </c>
    </row>
    <row r="88" spans="8:12" x14ac:dyDescent="0.3">
      <c r="H88">
        <v>86</v>
      </c>
      <c r="I88">
        <f t="shared" si="1"/>
        <v>2.1643333333333334</v>
      </c>
      <c r="J88">
        <v>0</v>
      </c>
      <c r="K88">
        <v>60</v>
      </c>
      <c r="L88">
        <v>129.36000000000001</v>
      </c>
    </row>
    <row r="89" spans="8:12" x14ac:dyDescent="0.3">
      <c r="H89">
        <v>87</v>
      </c>
      <c r="I89">
        <f t="shared" si="1"/>
        <v>2.1895000000000007</v>
      </c>
      <c r="J89">
        <v>0</v>
      </c>
      <c r="K89">
        <v>60</v>
      </c>
      <c r="L89">
        <v>130.87000000000003</v>
      </c>
    </row>
    <row r="90" spans="8:12" x14ac:dyDescent="0.3">
      <c r="H90">
        <v>88</v>
      </c>
      <c r="I90">
        <f t="shared" si="1"/>
        <v>2.214666666666667</v>
      </c>
      <c r="J90">
        <v>0</v>
      </c>
      <c r="K90">
        <v>60</v>
      </c>
      <c r="L90">
        <v>132.38</v>
      </c>
    </row>
    <row r="91" spans="8:12" x14ac:dyDescent="0.3">
      <c r="H91">
        <v>89</v>
      </c>
      <c r="I91">
        <f t="shared" si="1"/>
        <v>2.2398333333333338</v>
      </c>
      <c r="J91">
        <v>0</v>
      </c>
      <c r="K91">
        <v>60</v>
      </c>
      <c r="L91">
        <v>133.89000000000001</v>
      </c>
    </row>
    <row r="92" spans="8:12" x14ac:dyDescent="0.3">
      <c r="H92">
        <v>90</v>
      </c>
      <c r="I92">
        <f t="shared" si="1"/>
        <v>2.2650000000000001</v>
      </c>
      <c r="J92">
        <v>0</v>
      </c>
      <c r="K92">
        <v>60</v>
      </c>
      <c r="L92">
        <v>135.4</v>
      </c>
    </row>
    <row r="93" spans="8:12" x14ac:dyDescent="0.3">
      <c r="H93">
        <v>91</v>
      </c>
      <c r="I93">
        <f t="shared" si="1"/>
        <v>2.2901666666666669</v>
      </c>
      <c r="J93">
        <v>0</v>
      </c>
      <c r="K93">
        <v>60</v>
      </c>
      <c r="L93">
        <v>136.91</v>
      </c>
    </row>
    <row r="94" spans="8:12" x14ac:dyDescent="0.3">
      <c r="H94">
        <v>92</v>
      </c>
      <c r="I94">
        <f t="shared" si="1"/>
        <v>2.3153333333333337</v>
      </c>
      <c r="J94">
        <v>0</v>
      </c>
      <c r="K94">
        <v>60</v>
      </c>
      <c r="L94">
        <v>138.42000000000002</v>
      </c>
    </row>
    <row r="95" spans="8:12" x14ac:dyDescent="0.3">
      <c r="H95">
        <v>93</v>
      </c>
      <c r="I95">
        <f t="shared" si="1"/>
        <v>2.3405000000000005</v>
      </c>
      <c r="J95">
        <v>0</v>
      </c>
      <c r="K95">
        <v>60</v>
      </c>
      <c r="L95">
        <v>139.93000000000004</v>
      </c>
    </row>
    <row r="96" spans="8:12" x14ac:dyDescent="0.3">
      <c r="H96">
        <v>94</v>
      </c>
      <c r="I96">
        <f t="shared" si="1"/>
        <v>2.3656666666666668</v>
      </c>
      <c r="J96">
        <v>0</v>
      </c>
      <c r="K96">
        <v>60</v>
      </c>
      <c r="L96">
        <v>141.44</v>
      </c>
    </row>
    <row r="97" spans="8:12" x14ac:dyDescent="0.3">
      <c r="H97">
        <v>95</v>
      </c>
      <c r="I97">
        <f t="shared" si="1"/>
        <v>2.3908333333333336</v>
      </c>
      <c r="J97">
        <v>0</v>
      </c>
      <c r="K97">
        <v>60</v>
      </c>
      <c r="L97">
        <v>142.95000000000002</v>
      </c>
    </row>
    <row r="98" spans="8:12" x14ac:dyDescent="0.3">
      <c r="H98">
        <v>96</v>
      </c>
      <c r="I98">
        <f t="shared" si="1"/>
        <v>2.4160000000000004</v>
      </c>
      <c r="J98">
        <v>0</v>
      </c>
      <c r="K98">
        <v>60</v>
      </c>
      <c r="L98">
        <v>144.46</v>
      </c>
    </row>
    <row r="99" spans="8:12" x14ac:dyDescent="0.3">
      <c r="H99">
        <v>97</v>
      </c>
      <c r="I99">
        <f t="shared" si="1"/>
        <v>2.4411666666666672</v>
      </c>
      <c r="J99">
        <v>-100</v>
      </c>
      <c r="K99">
        <v>57.549999999999983</v>
      </c>
      <c r="L99">
        <v>144.5300125</v>
      </c>
    </row>
    <row r="100" spans="8:12" x14ac:dyDescent="0.3">
      <c r="H100">
        <v>98</v>
      </c>
      <c r="I100">
        <f t="shared" si="1"/>
        <v>2.4663333333333339</v>
      </c>
      <c r="J100">
        <v>-100</v>
      </c>
      <c r="K100">
        <v>55.033333333333303</v>
      </c>
      <c r="L100">
        <v>144.6233388888889</v>
      </c>
    </row>
    <row r="101" spans="8:12" x14ac:dyDescent="0.3">
      <c r="H101">
        <v>99</v>
      </c>
      <c r="I101">
        <f t="shared" si="1"/>
        <v>2.4915000000000003</v>
      </c>
      <c r="J101">
        <v>-100</v>
      </c>
      <c r="K101">
        <v>52.516666666666666</v>
      </c>
      <c r="L101">
        <v>144.78000138888888</v>
      </c>
    </row>
    <row r="102" spans="8:12" x14ac:dyDescent="0.3">
      <c r="H102">
        <v>100</v>
      </c>
      <c r="I102">
        <f t="shared" si="1"/>
        <v>2.5166666666666671</v>
      </c>
      <c r="J102">
        <v>-100</v>
      </c>
      <c r="K102">
        <v>49.999999999999993</v>
      </c>
      <c r="L102">
        <v>145</v>
      </c>
    </row>
  </sheetData>
  <mergeCells count="4">
    <mergeCell ref="A39:D39"/>
    <mergeCell ref="A45:D45"/>
    <mergeCell ref="A51:D51"/>
    <mergeCell ref="A33:D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calc2ndorder">
                <anchor moveWithCells="1" sizeWithCells="1">
                  <from>
                    <xdr:col>4</xdr:col>
                    <xdr:colOff>457200</xdr:colOff>
                    <xdr:row>5</xdr:row>
                    <xdr:rowOff>160020</xdr:rowOff>
                  </from>
                  <to>
                    <xdr:col>6</xdr:col>
                    <xdr:colOff>464820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Blad1!$A$1:$A$2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2"/>
  <sheetViews>
    <sheetView workbookViewId="0">
      <selection activeCell="A3" sqref="A3"/>
    </sheetView>
  </sheetViews>
  <sheetFormatPr defaultRowHeight="14.4" x14ac:dyDescent="0.3"/>
  <sheetData>
    <row r="1" spans="1:1" x14ac:dyDescent="0.3">
      <c r="A1" t="s">
        <v>28</v>
      </c>
    </row>
    <row r="2" spans="1:1" x14ac:dyDescent="0.3">
      <c r="A2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21</vt:i4>
      </vt:variant>
    </vt:vector>
  </HeadingPairs>
  <TitlesOfParts>
    <vt:vector size="24" baseType="lpstr">
      <vt:lpstr>3rd Order</vt:lpstr>
      <vt:lpstr>2nd Order</vt:lpstr>
      <vt:lpstr>Blad1</vt:lpstr>
      <vt:lpstr>acceleration1</vt:lpstr>
      <vt:lpstr>acceleration2</vt:lpstr>
      <vt:lpstr>amax</vt:lpstr>
      <vt:lpstr>duration1</vt:lpstr>
      <vt:lpstr>duration2</vt:lpstr>
      <vt:lpstr>duration3</vt:lpstr>
      <vt:lpstr>jmax</vt:lpstr>
      <vt:lpstr>length</vt:lpstr>
      <vt:lpstr>length1</vt:lpstr>
      <vt:lpstr>length2</vt:lpstr>
      <vt:lpstr>length3</vt:lpstr>
      <vt:lpstr>time0</vt:lpstr>
      <vt:lpstr>time1</vt:lpstr>
      <vt:lpstr>time2</vt:lpstr>
      <vt:lpstr>time3</vt:lpstr>
      <vt:lpstr>velocity1</vt:lpstr>
      <vt:lpstr>velocity2</vt:lpstr>
      <vt:lpstr>velocity3</vt:lpstr>
      <vt:lpstr>vend</vt:lpstr>
      <vt:lpstr>vmax</vt:lpstr>
      <vt:lpstr>vstart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</dc:creator>
  <cp:lastModifiedBy>Pascal Roobrouck | Moore Stephens</cp:lastModifiedBy>
  <dcterms:created xsi:type="dcterms:W3CDTF">2016-12-20T13:17:11Z</dcterms:created>
  <dcterms:modified xsi:type="dcterms:W3CDTF">2017-01-04T21:05:33Z</dcterms:modified>
</cp:coreProperties>
</file>